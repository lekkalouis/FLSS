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ippenLekka\iCloudDrive\2026\"/>
    </mc:Choice>
  </mc:AlternateContent>
  <xr:revisionPtr revIDLastSave="0" documentId="8_{9A754D08-D02C-49FD-9D2B-EE4F840A7AF3}" xr6:coauthVersionLast="47" xr6:coauthVersionMax="47" xr10:uidLastSave="{00000000-0000-0000-0000-000000000000}"/>
  <bookViews>
    <workbookView xWindow="1515" yWindow="1515" windowWidth="21600" windowHeight="11385" xr2:uid="{EFC72984-287B-431B-B1CD-FC6EB52D62B6}"/>
  </bookViews>
  <sheets>
    <sheet name="Bo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D9" i="1"/>
  <c r="F8" i="1" s="1"/>
  <c r="F9" i="1" s="1"/>
  <c r="D14" i="1"/>
  <c r="D15" i="1"/>
  <c r="D19" i="1" s="1"/>
  <c r="D24" i="1" s="1" a="1"/>
  <c r="D24" i="1" s="1"/>
  <c r="D17" i="1"/>
  <c r="D18" i="1"/>
  <c r="D20" i="1"/>
  <c r="D21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D46" i="1"/>
  <c r="E46" i="1"/>
  <c r="D47" i="1"/>
  <c r="E47" i="1"/>
  <c r="G47" i="1"/>
  <c r="H47" i="1"/>
  <c r="D48" i="1"/>
  <c r="E48" i="1"/>
  <c r="F55" i="1"/>
  <c r="F56" i="1"/>
  <c r="E57" i="1"/>
  <c r="D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<sst xmlns="http://schemas.openxmlformats.org/spreadsheetml/2006/main" count="50" uniqueCount="48">
  <si>
    <t>250ml</t>
  </si>
  <si>
    <t>200ml</t>
  </si>
  <si>
    <t>100ml</t>
  </si>
  <si>
    <t>Weight</t>
  </si>
  <si>
    <t>Volume</t>
  </si>
  <si>
    <t>SAPRO Boksies</t>
  </si>
  <si>
    <r>
      <t>Volume in cm</t>
    </r>
    <r>
      <rPr>
        <b/>
        <vertAlign val="superscript"/>
        <sz val="8"/>
        <color theme="1"/>
        <rFont val="Calibri"/>
        <family val="2"/>
        <scheme val="minor"/>
      </rPr>
      <t>3</t>
    </r>
    <r>
      <rPr>
        <b/>
        <sz val="8"/>
        <color theme="0"/>
        <rFont val="Calibri"/>
        <family val="2"/>
        <scheme val="minor"/>
      </rPr>
      <t xml:space="preserve"> ( (pi x radius^) x height)</t>
    </r>
  </si>
  <si>
    <t>Radius in cm</t>
  </si>
  <si>
    <t>Height (cm)</t>
  </si>
  <si>
    <t>BX-CAP</t>
  </si>
  <si>
    <t>BX-XL</t>
  </si>
  <si>
    <t>BX-BAI</t>
  </si>
  <si>
    <t>BX-L</t>
  </si>
  <si>
    <t>BX-45</t>
  </si>
  <si>
    <t>BX-WI</t>
  </si>
  <si>
    <t>BX-HU</t>
  </si>
  <si>
    <t>BX-3</t>
  </si>
  <si>
    <t>BX-2</t>
  </si>
  <si>
    <t>BX-1</t>
  </si>
  <si>
    <t>Dimentional Weight</t>
  </si>
  <si>
    <r>
      <t>Volume in cm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</si>
  <si>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Weight in GRAMS</t>
  </si>
  <si>
    <t>Width (cm)</t>
  </si>
  <si>
    <t>Length(cm)</t>
  </si>
  <si>
    <t>SKU</t>
  </si>
  <si>
    <t>Kg</t>
  </si>
  <si>
    <t>TOTAL MASS</t>
  </si>
  <si>
    <t xml:space="preserve">Total Packaging Weight </t>
  </si>
  <si>
    <t>Packaging Extras</t>
  </si>
  <si>
    <t>Tape Weight</t>
  </si>
  <si>
    <t>Labels Weight</t>
  </si>
  <si>
    <t>12 x 200ml Carton Weight</t>
  </si>
  <si>
    <t>12 x 100ml Carton Weight</t>
  </si>
  <si>
    <t>Total Cartons (200ml x 12s)</t>
  </si>
  <si>
    <t>Total Cartons (100ml x 12s)</t>
  </si>
  <si>
    <t>Paper</t>
  </si>
  <si>
    <t>Invoice</t>
  </si>
  <si>
    <t>200ml Units</t>
  </si>
  <si>
    <t>Waybill</t>
  </si>
  <si>
    <t>100ml Units</t>
  </si>
  <si>
    <t>Pockets x 2</t>
  </si>
  <si>
    <t>per box</t>
  </si>
  <si>
    <t>Number of big Boxes</t>
  </si>
  <si>
    <t>Total for boxes</t>
  </si>
  <si>
    <t>Height</t>
  </si>
  <si>
    <t>Width</t>
  </si>
  <si>
    <t>Length</t>
  </si>
  <si>
    <t>Box Size in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</si>
</sst>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0.000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u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6" fontId="6" fillId="3" borderId="7" xfId="0" applyNumberFormat="1" applyFont="1" applyFill="1" applyBorder="1"/>
    <xf numFmtId="166" fontId="6" fillId="3" borderId="8" xfId="0" applyNumberFormat="1" applyFont="1" applyFill="1" applyBorder="1"/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2" fillId="0" borderId="5" xfId="0" applyFont="1" applyBorder="1"/>
    <xf numFmtId="164" fontId="8" fillId="3" borderId="9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right" vertical="center"/>
    </xf>
    <xf numFmtId="0" fontId="0" fillId="4" borderId="10" xfId="0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166" fontId="8" fillId="3" borderId="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2" fillId="0" borderId="0" xfId="0" applyFont="1" applyAlignment="1">
      <alignment horizontal="center" vertical="center" textRotation="45"/>
    </xf>
    <xf numFmtId="167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 textRotation="45"/>
    </xf>
    <xf numFmtId="164" fontId="8" fillId="0" borderId="0" xfId="0" applyNumberFormat="1" applyFont="1" applyAlignment="1">
      <alignment horizontal="center" vertical="center" textRotation="45"/>
    </xf>
    <xf numFmtId="0" fontId="0" fillId="0" borderId="0" xfId="0" applyAlignment="1">
      <alignment horizontal="center" vertical="center" textRotation="45"/>
    </xf>
    <xf numFmtId="0" fontId="0" fillId="0" borderId="6" xfId="0" applyBorder="1" applyAlignment="1">
      <alignment horizontal="center" vertical="center" textRotation="45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164" fontId="8" fillId="5" borderId="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1" fontId="8" fillId="5" borderId="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5" xfId="0" applyNumberFormat="1" applyBorder="1"/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0" fillId="0" borderId="14" xfId="0" applyBorder="1"/>
    <xf numFmtId="0" fontId="9" fillId="6" borderId="14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.0_-;\-* #,##0.0_-;_-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75B9A-888F-48C5-B056-8B112AE47A70}" name="Weighs" displayName="Weighs" ref="A33:G43" totalsRowShown="0" headerRowDxfId="8" dataDxfId="7">
  <autoFilter ref="A33:G43" xr:uid="{45B81434-BC60-4A20-A0BF-09ACBFA234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34:G43">
    <sortCondition ref="G33:G43"/>
  </sortState>
  <tableColumns count="7">
    <tableColumn id="1" xr3:uid="{CC5894F1-ACBB-4A2E-8FE8-3D126C94D7FB}" name="SKU" dataDxfId="6"/>
    <tableColumn id="3" xr3:uid="{D3330163-195A-49AD-BDC6-68558FD178E5}" name="Length(cm)" dataDxfId="5"/>
    <tableColumn id="4" xr3:uid="{1D191E89-6F7E-4E2D-8837-C4311174FB12}" name="Width (cm)" dataDxfId="4"/>
    <tableColumn id="5" xr3:uid="{C2E0911C-2738-47E9-BD2E-890CF5E67F8A}" name="Height (cm)" dataDxfId="3"/>
    <tableColumn id="6" xr3:uid="{91BA8319-F2EF-4DA4-A440-DA8A4DEAA6A6}" name="Weight in GRAMS" dataDxfId="2" dataCellStyle="Comma"/>
    <tableColumn id="7" xr3:uid="{864C4B92-DBE2-4FD0-8FF0-BBE2E81725E5}" name="Volume in cm3" dataDxfId="1">
      <calculatedColumnFormula>ROUNDUP(PRODUCT(B34:D34),0)</calculatedColumnFormula>
    </tableColumn>
    <tableColumn id="8" xr3:uid="{AA1B89BF-18A8-4BF8-8983-55057B0A3315}" name="Dimentional Weight" dataDxfId="0">
      <calculatedColumnFormula>F34/4000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AAFF-003A-45BB-A8B3-594DE7B598C1}">
  <sheetPr>
    <pageSetUpPr fitToPage="1"/>
  </sheetPr>
  <dimension ref="A1:U57"/>
  <sheetViews>
    <sheetView tabSelected="1" zoomScaleNormal="100" workbookViewId="0">
      <selection activeCell="D17" sqref="D17"/>
    </sheetView>
  </sheetViews>
  <sheetFormatPr defaultRowHeight="15" x14ac:dyDescent="0.25"/>
  <cols>
    <col min="2" max="2" width="20.42578125" customWidth="1"/>
    <col min="3" max="3" width="8.42578125" customWidth="1"/>
    <col min="4" max="4" width="15.7109375" customWidth="1"/>
    <col min="5" max="5" width="11.140625" customWidth="1"/>
    <col min="6" max="6" width="11.42578125" customWidth="1"/>
    <col min="7" max="7" width="15.85546875" customWidth="1"/>
    <col min="8" max="8" width="7.28515625" customWidth="1"/>
    <col min="9" max="9" width="5.5703125" customWidth="1"/>
    <col min="10" max="11" width="5.5703125" style="2" customWidth="1"/>
    <col min="12" max="12" width="8.140625" style="2" customWidth="1"/>
    <col min="13" max="13" width="15.28515625" customWidth="1"/>
    <col min="14" max="14" width="8.85546875" style="5" customWidth="1"/>
    <col min="15" max="15" width="8.85546875" style="4" customWidth="1"/>
    <col min="16" max="16" width="8.85546875" style="3" customWidth="1"/>
    <col min="17" max="17" width="10.85546875" style="2" customWidth="1"/>
    <col min="18" max="18" width="10.85546875" customWidth="1"/>
    <col min="19" max="19" width="10.7109375" customWidth="1"/>
    <col min="20" max="20" width="10.7109375" style="1" customWidth="1"/>
  </cols>
  <sheetData>
    <row r="1" spans="2:21" ht="15.75" thickBot="1" x14ac:dyDescent="0.3"/>
    <row r="2" spans="2:21" x14ac:dyDescent="0.25">
      <c r="B2" s="61"/>
      <c r="C2" s="60"/>
      <c r="D2" s="60"/>
      <c r="E2" s="59"/>
      <c r="F2" s="58"/>
    </row>
    <row r="3" spans="2:21" x14ac:dyDescent="0.25">
      <c r="B3" s="57"/>
      <c r="C3" s="56"/>
      <c r="D3" s="56"/>
      <c r="E3" s="55"/>
      <c r="F3" s="18"/>
    </row>
    <row r="4" spans="2:21" x14ac:dyDescent="0.25">
      <c r="B4" s="19"/>
      <c r="E4" s="18"/>
      <c r="F4" s="18"/>
    </row>
    <row r="5" spans="2:21" x14ac:dyDescent="0.25">
      <c r="B5" s="30"/>
      <c r="C5" s="54" t="s">
        <v>47</v>
      </c>
      <c r="D5" s="53"/>
      <c r="E5" s="18"/>
      <c r="F5" s="18"/>
    </row>
    <row r="6" spans="2:21" ht="15.75" x14ac:dyDescent="0.25">
      <c r="B6" s="30"/>
      <c r="C6" s="29" t="s">
        <v>46</v>
      </c>
      <c r="D6" s="43">
        <v>40</v>
      </c>
      <c r="E6" s="18"/>
      <c r="F6" s="52">
        <f>D6*D7*D8</f>
        <v>36000</v>
      </c>
    </row>
    <row r="7" spans="2:21" ht="15.75" x14ac:dyDescent="0.25">
      <c r="B7" s="30"/>
      <c r="C7" s="29" t="s">
        <v>45</v>
      </c>
      <c r="D7" s="43">
        <v>30</v>
      </c>
      <c r="E7" s="18"/>
      <c r="F7" s="18"/>
      <c r="I7" s="51" t="s">
        <v>28</v>
      </c>
      <c r="J7" s="51"/>
      <c r="K7" s="51"/>
    </row>
    <row r="8" spans="2:21" ht="15.75" x14ac:dyDescent="0.25">
      <c r="B8" s="30"/>
      <c r="C8" s="29" t="s">
        <v>44</v>
      </c>
      <c r="D8" s="43">
        <v>30</v>
      </c>
      <c r="E8" s="18"/>
      <c r="F8" s="18">
        <f>ROUNDUP(SQRT(F6)*2.5,0)*D9/1000</f>
        <v>1.1875</v>
      </c>
      <c r="G8" t="s">
        <v>43</v>
      </c>
      <c r="I8" s="50"/>
      <c r="J8" s="49"/>
      <c r="K8" s="48"/>
    </row>
    <row r="9" spans="2:21" ht="15.75" x14ac:dyDescent="0.25">
      <c r="B9" s="30"/>
      <c r="C9" s="29" t="s">
        <v>42</v>
      </c>
      <c r="D9" s="47">
        <f>D15/8</f>
        <v>2.5</v>
      </c>
      <c r="E9" s="18"/>
      <c r="F9" s="18">
        <f>F8/D9</f>
        <v>0.47499999999999998</v>
      </c>
      <c r="G9" t="s">
        <v>41</v>
      </c>
      <c r="I9" s="46"/>
      <c r="J9" s="45"/>
      <c r="K9" s="44"/>
    </row>
    <row r="10" spans="2:21" ht="15.75" x14ac:dyDescent="0.25">
      <c r="B10" s="26"/>
      <c r="C10" s="25"/>
      <c r="D10" s="24"/>
      <c r="E10" s="18"/>
      <c r="F10" s="18"/>
      <c r="I10" s="42" t="s">
        <v>40</v>
      </c>
      <c r="J10" s="41"/>
      <c r="K10" s="41">
        <v>6.3</v>
      </c>
    </row>
    <row r="11" spans="2:21" ht="15.75" x14ac:dyDescent="0.25">
      <c r="B11" s="30"/>
      <c r="C11" s="29" t="s">
        <v>39</v>
      </c>
      <c r="D11" s="43">
        <v>120</v>
      </c>
      <c r="E11" s="18"/>
      <c r="F11" s="18"/>
      <c r="I11" s="42" t="s">
        <v>38</v>
      </c>
      <c r="J11" s="41"/>
      <c r="K11" s="41">
        <v>2</v>
      </c>
    </row>
    <row r="12" spans="2:21" ht="15.75" x14ac:dyDescent="0.25">
      <c r="B12" s="30"/>
      <c r="C12" s="29" t="s">
        <v>37</v>
      </c>
      <c r="D12" s="43">
        <v>240</v>
      </c>
      <c r="E12" s="18"/>
      <c r="F12" s="18"/>
      <c r="I12" s="42" t="s">
        <v>36</v>
      </c>
      <c r="J12" s="41"/>
      <c r="K12" s="41">
        <v>4</v>
      </c>
    </row>
    <row r="13" spans="2:21" ht="15.75" x14ac:dyDescent="0.25">
      <c r="B13" s="26"/>
      <c r="C13" s="25"/>
      <c r="D13" s="24"/>
      <c r="E13" s="18"/>
      <c r="F13" s="18"/>
      <c r="I13" s="42" t="s">
        <v>35</v>
      </c>
      <c r="J13" s="41"/>
      <c r="K13" s="41">
        <v>50</v>
      </c>
    </row>
    <row r="14" spans="2:21" ht="15.75" x14ac:dyDescent="0.25">
      <c r="B14" s="30"/>
      <c r="C14" s="29" t="s">
        <v>34</v>
      </c>
      <c r="D14" s="28">
        <f>D11/12</f>
        <v>10</v>
      </c>
      <c r="E14" s="18"/>
      <c r="F14" s="18"/>
    </row>
    <row r="15" spans="2:21" ht="15" customHeight="1" x14ac:dyDescent="0.25">
      <c r="B15" s="30"/>
      <c r="C15" s="29" t="s">
        <v>33</v>
      </c>
      <c r="D15" s="28">
        <f>D12/12</f>
        <v>20</v>
      </c>
      <c r="E15" s="18"/>
      <c r="F15" s="18"/>
      <c r="N15" s="40"/>
      <c r="O15" s="40"/>
      <c r="P15" s="40"/>
    </row>
    <row r="16" spans="2:21" s="33" customFormat="1" ht="16.5" customHeight="1" x14ac:dyDescent="0.25">
      <c r="B16" s="39"/>
      <c r="C16" s="38"/>
      <c r="D16" s="37"/>
      <c r="E16" s="36"/>
      <c r="F16" s="36"/>
      <c r="G16" s="35"/>
      <c r="I16" s="34"/>
      <c r="J16" s="34"/>
      <c r="K16" s="34"/>
      <c r="U16" s="13"/>
    </row>
    <row r="17" spans="2:11" ht="15.75" x14ac:dyDescent="0.25">
      <c r="B17" s="30"/>
      <c r="C17" s="29" t="s">
        <v>32</v>
      </c>
      <c r="D17" s="28">
        <f>D14*$K$17</f>
        <v>0.8</v>
      </c>
      <c r="E17" s="18"/>
      <c r="F17" s="18"/>
      <c r="K17" s="2">
        <v>0.08</v>
      </c>
    </row>
    <row r="18" spans="2:11" ht="15.75" x14ac:dyDescent="0.25">
      <c r="B18" s="30"/>
      <c r="C18" s="29" t="s">
        <v>31</v>
      </c>
      <c r="D18" s="28">
        <f>D15*$K$18</f>
        <v>2.4</v>
      </c>
      <c r="E18" s="18"/>
      <c r="F18" s="18"/>
      <c r="K18" s="2">
        <v>0.12</v>
      </c>
    </row>
    <row r="19" spans="2:11" ht="15.75" x14ac:dyDescent="0.25">
      <c r="B19" s="30"/>
      <c r="C19" s="29" t="s">
        <v>30</v>
      </c>
      <c r="D19" s="28">
        <f>SUM(D14:D15)*0.005</f>
        <v>0.15</v>
      </c>
      <c r="E19" s="18"/>
      <c r="F19" s="18"/>
    </row>
    <row r="20" spans="2:11" ht="15.75" x14ac:dyDescent="0.25">
      <c r="B20" s="30"/>
      <c r="C20" s="29" t="s">
        <v>29</v>
      </c>
      <c r="D20" s="32">
        <f>(((((((($D$6*2)+(10*3))+(($D$7*2)+(8*2))+(($D$6*2)+($D$7*2))))+SUM(D14:D15))))*2/100)*0.002</f>
        <v>1.4240000000000001E-2</v>
      </c>
      <c r="E20" s="18"/>
      <c r="F20" s="18"/>
    </row>
    <row r="21" spans="2:11" ht="15.75" x14ac:dyDescent="0.25">
      <c r="B21" s="30"/>
      <c r="C21" s="29" t="s">
        <v>28</v>
      </c>
      <c r="D21" s="32">
        <f>SUM(K10:K13)/1000</f>
        <v>6.2299999999999994E-2</v>
      </c>
      <c r="E21" s="18"/>
      <c r="F21" s="18"/>
    </row>
    <row r="22" spans="2:11" ht="10.5" customHeight="1" x14ac:dyDescent="0.25">
      <c r="B22" s="26"/>
      <c r="C22" s="31"/>
      <c r="D22" s="24"/>
      <c r="E22" s="18"/>
      <c r="F22" s="18"/>
    </row>
    <row r="23" spans="2:11" ht="10.5" customHeight="1" x14ac:dyDescent="0.25">
      <c r="B23" s="26"/>
      <c r="C23" s="25"/>
      <c r="D23" s="24"/>
      <c r="E23" s="18"/>
      <c r="F23" s="18"/>
    </row>
    <row r="24" spans="2:11" ht="15.75" x14ac:dyDescent="0.25">
      <c r="B24" s="30"/>
      <c r="C24" s="29" t="s">
        <v>27</v>
      </c>
      <c r="D24" s="28" cm="1">
        <f t="array" ref="D24:D25">SUM(D17:D21)-D17:D18</f>
        <v>2.6265400000000003</v>
      </c>
      <c r="E24" s="27"/>
      <c r="F24" s="18"/>
    </row>
    <row r="25" spans="2:11" ht="15.75" x14ac:dyDescent="0.25">
      <c r="B25" s="26"/>
      <c r="C25" s="25"/>
      <c r="D25" s="24">
        <v>1.0265400000000002</v>
      </c>
      <c r="E25" s="18"/>
      <c r="F25" s="18"/>
    </row>
    <row r="26" spans="2:11" ht="15.75" thickBot="1" x14ac:dyDescent="0.3">
      <c r="B26" s="19"/>
      <c r="E26" s="18"/>
      <c r="F26" s="18"/>
    </row>
    <row r="27" spans="2:11" ht="24" thickBot="1" x14ac:dyDescent="0.4">
      <c r="B27" s="23" t="s">
        <v>26</v>
      </c>
      <c r="C27" s="22"/>
      <c r="D27" s="21">
        <f>SUM(D17:D21,F8)</f>
        <v>4.6140400000000001</v>
      </c>
      <c r="E27" s="20" t="s">
        <v>25</v>
      </c>
      <c r="F27" s="18"/>
    </row>
    <row r="28" spans="2:11" x14ac:dyDescent="0.25">
      <c r="B28" s="19"/>
      <c r="E28" s="18"/>
      <c r="F28" s="18"/>
    </row>
    <row r="29" spans="2:11" x14ac:dyDescent="0.25">
      <c r="B29" s="19"/>
      <c r="E29" s="18"/>
      <c r="F29" s="18"/>
    </row>
    <row r="30" spans="2:11" ht="15.75" thickBot="1" x14ac:dyDescent="0.3">
      <c r="B30" s="17"/>
      <c r="C30" s="16"/>
      <c r="D30" s="16"/>
      <c r="E30" s="15"/>
      <c r="F30" s="15"/>
    </row>
    <row r="31" spans="2:11" ht="60" customHeight="1" x14ac:dyDescent="0.25"/>
    <row r="32" spans="2:11" ht="60" customHeight="1" x14ac:dyDescent="0.25"/>
    <row r="33" spans="1:20" ht="22.5" x14ac:dyDescent="0.25">
      <c r="A33" s="14" t="s">
        <v>24</v>
      </c>
      <c r="B33" s="13" t="s">
        <v>23</v>
      </c>
      <c r="C33" s="13" t="s">
        <v>22</v>
      </c>
      <c r="D33" s="13" t="s">
        <v>8</v>
      </c>
      <c r="E33" s="13" t="s">
        <v>21</v>
      </c>
      <c r="F33" s="13" t="s">
        <v>20</v>
      </c>
      <c r="G33" s="13" t="s">
        <v>19</v>
      </c>
      <c r="I33" s="2"/>
      <c r="L33"/>
      <c r="M33" s="5"/>
      <c r="N33" s="4"/>
      <c r="O33" s="3"/>
      <c r="P33" s="2"/>
      <c r="Q33"/>
      <c r="S33" s="1"/>
      <c r="T33"/>
    </row>
    <row r="34" spans="1:20" x14ac:dyDescent="0.25">
      <c r="A34" s="5" t="s">
        <v>18</v>
      </c>
      <c r="B34" s="12">
        <v>18</v>
      </c>
      <c r="C34" s="11">
        <v>13.5</v>
      </c>
      <c r="D34" s="10">
        <v>12.5</v>
      </c>
      <c r="E34" s="9">
        <v>78</v>
      </c>
      <c r="F34" s="4">
        <f>ROUNDUP(PRODUCT(B34:D34),0)</f>
        <v>3038</v>
      </c>
      <c r="G34" s="8">
        <f>F34/4000</f>
        <v>0.75949999999999995</v>
      </c>
      <c r="I34" s="7"/>
      <c r="J34" s="7"/>
      <c r="K34" s="7"/>
      <c r="L34"/>
      <c r="M34" s="5"/>
      <c r="N34" s="4"/>
      <c r="O34" s="3"/>
      <c r="P34" s="2"/>
      <c r="Q34"/>
      <c r="S34" s="1"/>
      <c r="T34"/>
    </row>
    <row r="35" spans="1:20" x14ac:dyDescent="0.25">
      <c r="A35" s="5" t="s">
        <v>17</v>
      </c>
      <c r="B35" s="12">
        <v>22</v>
      </c>
      <c r="C35" s="11">
        <v>17</v>
      </c>
      <c r="D35" s="10">
        <v>16</v>
      </c>
      <c r="E35" s="9">
        <v>107</v>
      </c>
      <c r="F35" s="4">
        <f>ROUNDUP(PRODUCT(B35:D35),0)</f>
        <v>5984</v>
      </c>
      <c r="G35" s="8">
        <f>F35/4000</f>
        <v>1.496</v>
      </c>
      <c r="I35" s="7"/>
      <c r="J35" s="7"/>
      <c r="K35" s="7"/>
      <c r="L35"/>
      <c r="M35" s="5"/>
      <c r="N35" s="4"/>
      <c r="O35" s="3"/>
      <c r="P35" s="2"/>
      <c r="Q35"/>
      <c r="S35" s="1"/>
      <c r="T35"/>
    </row>
    <row r="36" spans="1:20" x14ac:dyDescent="0.25">
      <c r="A36" s="5" t="s">
        <v>16</v>
      </c>
      <c r="B36" s="12">
        <v>27</v>
      </c>
      <c r="C36" s="11">
        <v>24.5</v>
      </c>
      <c r="D36" s="10">
        <v>16.8</v>
      </c>
      <c r="E36" s="9">
        <v>195</v>
      </c>
      <c r="F36" s="4">
        <f>ROUNDUP(PRODUCT(B36:D36),0)</f>
        <v>11114</v>
      </c>
      <c r="G36" s="8">
        <f>F36/4000</f>
        <v>2.7785000000000002</v>
      </c>
      <c r="I36" s="7"/>
      <c r="J36" s="7"/>
      <c r="K36" s="7"/>
      <c r="L36"/>
      <c r="M36" s="5"/>
      <c r="N36" s="4"/>
      <c r="O36" s="3"/>
      <c r="P36" s="2"/>
      <c r="Q36"/>
      <c r="S36" s="1"/>
      <c r="T36"/>
    </row>
    <row r="37" spans="1:20" x14ac:dyDescent="0.25">
      <c r="A37" s="5" t="s">
        <v>15</v>
      </c>
      <c r="B37" s="12">
        <v>33</v>
      </c>
      <c r="C37" s="11">
        <v>25</v>
      </c>
      <c r="D37" s="10">
        <v>29.5</v>
      </c>
      <c r="E37" s="9">
        <v>360</v>
      </c>
      <c r="F37" s="4">
        <f>ROUNDUP(PRODUCT(B37:D37),0)</f>
        <v>24338</v>
      </c>
      <c r="G37" s="8">
        <f>F37/4000</f>
        <v>6.0845000000000002</v>
      </c>
      <c r="I37" s="7"/>
      <c r="J37" s="7"/>
      <c r="K37" s="7"/>
      <c r="L37"/>
      <c r="M37" s="5"/>
      <c r="N37" s="4"/>
      <c r="O37" s="3"/>
      <c r="P37" s="2"/>
      <c r="Q37"/>
      <c r="S37" s="1"/>
      <c r="T37"/>
    </row>
    <row r="38" spans="1:20" x14ac:dyDescent="0.25">
      <c r="A38" s="5" t="s">
        <v>14</v>
      </c>
      <c r="B38" s="12">
        <v>39</v>
      </c>
      <c r="C38" s="11">
        <v>28</v>
      </c>
      <c r="D38" s="10">
        <v>28</v>
      </c>
      <c r="E38" s="9">
        <v>350</v>
      </c>
      <c r="F38" s="4">
        <f>ROUNDUP(PRODUCT(B38:D38),0)</f>
        <v>30576</v>
      </c>
      <c r="G38" s="8">
        <f>F38/4000</f>
        <v>7.6440000000000001</v>
      </c>
      <c r="I38" s="7"/>
      <c r="J38" s="7"/>
      <c r="K38" s="7"/>
      <c r="L38"/>
      <c r="M38" s="5"/>
      <c r="N38" s="4"/>
      <c r="O38" s="3"/>
      <c r="P38" s="2"/>
      <c r="Q38"/>
      <c r="S38" s="1"/>
      <c r="T38"/>
    </row>
    <row r="39" spans="1:20" x14ac:dyDescent="0.25">
      <c r="A39" s="5" t="s">
        <v>13</v>
      </c>
      <c r="B39" s="12">
        <v>39.5</v>
      </c>
      <c r="C39" s="11">
        <v>30</v>
      </c>
      <c r="D39" s="10">
        <v>32</v>
      </c>
      <c r="E39" s="9">
        <v>490</v>
      </c>
      <c r="F39" s="4">
        <f>ROUNDUP(PRODUCT(B39:D39),0)</f>
        <v>37920</v>
      </c>
      <c r="G39" s="8">
        <f>F39/4000</f>
        <v>9.48</v>
      </c>
      <c r="I39" s="7"/>
      <c r="J39" s="7"/>
      <c r="K39" s="7"/>
      <c r="L39"/>
      <c r="M39" s="5"/>
      <c r="N39" s="4"/>
      <c r="O39" s="3"/>
      <c r="P39" s="2"/>
      <c r="Q39"/>
      <c r="S39" s="1"/>
      <c r="T39"/>
    </row>
    <row r="40" spans="1:20" x14ac:dyDescent="0.25">
      <c r="A40" s="5" t="s">
        <v>12</v>
      </c>
      <c r="B40" s="12">
        <v>46</v>
      </c>
      <c r="C40" s="11">
        <v>40</v>
      </c>
      <c r="D40" s="10">
        <v>22</v>
      </c>
      <c r="E40" s="9">
        <v>505</v>
      </c>
      <c r="F40" s="4">
        <f>ROUNDUP(PRODUCT(B40:D40),0)</f>
        <v>40480</v>
      </c>
      <c r="G40" s="8">
        <f>F40/4000</f>
        <v>10.119999999999999</v>
      </c>
      <c r="I40" s="7"/>
      <c r="J40" s="7"/>
      <c r="K40" s="7"/>
      <c r="L40"/>
      <c r="M40" s="5"/>
      <c r="N40" s="4"/>
      <c r="O40" s="3"/>
      <c r="P40" s="2"/>
      <c r="Q40"/>
      <c r="S40" s="1"/>
      <c r="T40"/>
    </row>
    <row r="41" spans="1:20" x14ac:dyDescent="0.25">
      <c r="A41" s="5" t="s">
        <v>11</v>
      </c>
      <c r="B41" s="12">
        <v>40</v>
      </c>
      <c r="C41" s="11">
        <v>34</v>
      </c>
      <c r="D41" s="10">
        <v>30</v>
      </c>
      <c r="E41" s="9">
        <v>430</v>
      </c>
      <c r="F41" s="4">
        <f>ROUNDUP(PRODUCT(B41:D41),0)</f>
        <v>40800</v>
      </c>
      <c r="G41" s="8">
        <f>F41/4000</f>
        <v>10.199999999999999</v>
      </c>
      <c r="I41" s="7"/>
      <c r="J41" s="7"/>
      <c r="K41" s="7"/>
      <c r="L41"/>
      <c r="M41" s="5"/>
      <c r="N41" s="4"/>
      <c r="O41" s="3"/>
      <c r="P41" s="2"/>
      <c r="Q41"/>
      <c r="S41" s="1"/>
      <c r="T41"/>
    </row>
    <row r="42" spans="1:20" x14ac:dyDescent="0.25">
      <c r="A42" s="5" t="s">
        <v>10</v>
      </c>
      <c r="B42" s="12">
        <v>44</v>
      </c>
      <c r="C42" s="11">
        <v>32.5</v>
      </c>
      <c r="D42" s="10">
        <v>30</v>
      </c>
      <c r="E42" s="9">
        <v>510</v>
      </c>
      <c r="F42" s="4">
        <f>ROUNDUP(PRODUCT(B42:D42),0)</f>
        <v>42900</v>
      </c>
      <c r="G42" s="8">
        <f>F42/4000</f>
        <v>10.725</v>
      </c>
      <c r="I42" s="7"/>
      <c r="J42" s="7"/>
      <c r="K42" s="7"/>
      <c r="L42"/>
      <c r="M42" s="5"/>
      <c r="N42" s="4"/>
      <c r="O42" s="3"/>
      <c r="P42" s="2"/>
      <c r="Q42"/>
      <c r="S42" s="1"/>
      <c r="T42"/>
    </row>
    <row r="43" spans="1:20" x14ac:dyDescent="0.25">
      <c r="A43" s="5" t="s">
        <v>9</v>
      </c>
      <c r="B43" s="12">
        <v>40</v>
      </c>
      <c r="C43" s="11">
        <v>34</v>
      </c>
      <c r="D43" s="10">
        <v>41</v>
      </c>
      <c r="E43" s="9">
        <v>510</v>
      </c>
      <c r="F43" s="4">
        <f>ROUNDUP(PRODUCT(B43:D43),0)</f>
        <v>55760</v>
      </c>
      <c r="G43" s="8">
        <f>F43/4000</f>
        <v>13.94</v>
      </c>
      <c r="I43" s="7"/>
      <c r="J43" s="7"/>
      <c r="K43" s="7"/>
      <c r="L43"/>
      <c r="M43" s="5"/>
      <c r="N43" s="4"/>
      <c r="O43" s="3"/>
      <c r="P43" s="2"/>
      <c r="Q43"/>
      <c r="S43" s="1"/>
      <c r="T43"/>
    </row>
    <row r="44" spans="1:20" ht="15.75" thickBot="1" x14ac:dyDescent="0.3"/>
    <row r="45" spans="1:20" ht="24.75" thickBot="1" x14ac:dyDescent="0.3">
      <c r="B45" s="6" t="s">
        <v>8</v>
      </c>
      <c r="C45" s="6" t="s">
        <v>7</v>
      </c>
      <c r="D45" s="6" t="s">
        <v>6</v>
      </c>
    </row>
    <row r="46" spans="1:20" x14ac:dyDescent="0.25">
      <c r="B46">
        <v>11.3</v>
      </c>
      <c r="C46" s="5">
        <v>2.2000000000000002</v>
      </c>
      <c r="D46" s="4">
        <f>ROUNDUP(PI()*(C46*C46)*B46,0)</f>
        <v>172</v>
      </c>
      <c r="E46">
        <f>D46*12</f>
        <v>2064</v>
      </c>
    </row>
    <row r="47" spans="1:20" x14ac:dyDescent="0.25">
      <c r="B47">
        <v>14.7</v>
      </c>
      <c r="C47" s="5">
        <v>2.5</v>
      </c>
      <c r="D47" s="4">
        <f>ROUNDUP(PI()*(C47*C47)*B47,0)</f>
        <v>289</v>
      </c>
      <c r="E47">
        <f>D47*12</f>
        <v>3468</v>
      </c>
      <c r="G47">
        <f>14.7*5*5</f>
        <v>367.5</v>
      </c>
      <c r="H47">
        <f>G47*12</f>
        <v>4410</v>
      </c>
    </row>
    <row r="48" spans="1:20" x14ac:dyDescent="0.25">
      <c r="B48">
        <v>6.5</v>
      </c>
      <c r="C48" s="5">
        <v>4.75</v>
      </c>
      <c r="D48" s="4">
        <f>ROUNDUP(PI()*(C48*C48)*B48,0)</f>
        <v>461</v>
      </c>
      <c r="E48">
        <f>D48*12</f>
        <v>5532</v>
      </c>
    </row>
    <row r="52" spans="2:6" x14ac:dyDescent="0.25">
      <c r="B52" t="s">
        <v>5</v>
      </c>
      <c r="C52" t="s">
        <v>4</v>
      </c>
      <c r="D52" t="s">
        <v>3</v>
      </c>
    </row>
    <row r="54" spans="2:6" x14ac:dyDescent="0.25">
      <c r="B54" t="s">
        <v>2</v>
      </c>
    </row>
    <row r="55" spans="2:6" x14ac:dyDescent="0.25">
      <c r="B55" t="s">
        <v>1</v>
      </c>
      <c r="E55">
        <v>96</v>
      </c>
      <c r="F55">
        <f>4600*8</f>
        <v>36800</v>
      </c>
    </row>
    <row r="56" spans="2:6" x14ac:dyDescent="0.25">
      <c r="B56" t="s">
        <v>0</v>
      </c>
      <c r="F56">
        <f>367.5*96</f>
        <v>35280</v>
      </c>
    </row>
    <row r="57" spans="2:6" x14ac:dyDescent="0.25">
      <c r="E57">
        <f>4*12</f>
        <v>48</v>
      </c>
    </row>
  </sheetData>
  <mergeCells count="7">
    <mergeCell ref="B27:C27"/>
    <mergeCell ref="I16:K16"/>
    <mergeCell ref="N15:P15"/>
    <mergeCell ref="C5:D5"/>
    <mergeCell ref="B2:E3"/>
    <mergeCell ref="I7:K7"/>
    <mergeCell ref="I8:K8"/>
  </mergeCells>
  <pageMargins left="0.7" right="0.7" top="0.75" bottom="0.75" header="0.3" footer="0.3"/>
  <pageSetup scale="54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Cabano</dc:creator>
  <cp:lastModifiedBy>Louis Cabano</cp:lastModifiedBy>
  <dcterms:created xsi:type="dcterms:W3CDTF">2026-02-10T15:23:47Z</dcterms:created>
  <dcterms:modified xsi:type="dcterms:W3CDTF">2026-02-10T15:24:09Z</dcterms:modified>
</cp:coreProperties>
</file>