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lippenLekka\iCloudDrive\2026\"/>
    </mc:Choice>
  </mc:AlternateContent>
  <xr:revisionPtr revIDLastSave="0" documentId="8_{BB6DEDA3-1541-4B0B-97C1-100FE7F457A3}" xr6:coauthVersionLast="47" xr6:coauthVersionMax="47" xr10:uidLastSave="{00000000-0000-0000-0000-000000000000}"/>
  <bookViews>
    <workbookView xWindow="1515" yWindow="1515" windowWidth="21600" windowHeight="11385" activeTab="2" xr2:uid="{00000000-000D-0000-FFFF-FFFF00000000}"/>
  </bookViews>
  <sheets>
    <sheet name="Legacy" sheetId="1" r:id="rId1"/>
    <sheet name="Available Boxes" sheetId="2" r:id="rId2"/>
    <sheet name="Product Weights, Dims, Volume, " sheetId="3" r:id="rId3"/>
    <sheet name="Formula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pfIs37CShXWfTRDBSRKv9VaTjyQNyrxAqqZxe4ggtdc="/>
    </ext>
  </extLst>
</workbook>
</file>

<file path=xl/calcChain.xml><?xml version="1.0" encoding="utf-8"?>
<calcChain xmlns="http://schemas.openxmlformats.org/spreadsheetml/2006/main">
  <c r="G39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7" i="1"/>
  <c r="I2" i="1"/>
  <c r="K2" i="1" s="1"/>
  <c r="L11" i="1"/>
  <c r="O11" i="1" s="1"/>
  <c r="O8" i="1"/>
  <c r="O9" i="1"/>
  <c r="O10" i="1"/>
  <c r="O12" i="1"/>
  <c r="O13" i="1"/>
  <c r="O14" i="1"/>
  <c r="O15" i="1"/>
  <c r="O16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I4" i="1"/>
  <c r="I12" i="3"/>
  <c r="L39" i="1"/>
  <c r="F39" i="1"/>
  <c r="D39" i="1"/>
  <c r="N38" i="1"/>
  <c r="L38" i="1"/>
  <c r="F38" i="1"/>
  <c r="D38" i="1"/>
  <c r="N37" i="1"/>
  <c r="L37" i="1"/>
  <c r="F37" i="1"/>
  <c r="D37" i="1"/>
  <c r="L36" i="1"/>
  <c r="F36" i="1"/>
  <c r="D36" i="1"/>
  <c r="L35" i="1"/>
  <c r="F35" i="1"/>
  <c r="D35" i="1"/>
  <c r="L34" i="1"/>
  <c r="F34" i="1"/>
  <c r="D34" i="1"/>
  <c r="L33" i="1"/>
  <c r="F33" i="1"/>
  <c r="D33" i="1"/>
  <c r="L32" i="1"/>
  <c r="F32" i="1"/>
  <c r="D32" i="1"/>
  <c r="N31" i="1"/>
  <c r="L31" i="1"/>
  <c r="F31" i="1"/>
  <c r="D31" i="1"/>
  <c r="N30" i="1"/>
  <c r="L30" i="1" s="1"/>
  <c r="F30" i="1"/>
  <c r="D30" i="1"/>
  <c r="N29" i="1"/>
  <c r="L29" i="1"/>
  <c r="F29" i="1"/>
  <c r="D29" i="1"/>
  <c r="N28" i="1"/>
  <c r="L28" i="1"/>
  <c r="F28" i="1"/>
  <c r="D28" i="1"/>
  <c r="N27" i="1"/>
  <c r="L27" i="1"/>
  <c r="F27" i="1"/>
  <c r="D27" i="1"/>
  <c r="N26" i="1"/>
  <c r="L26" i="1" s="1"/>
  <c r="F26" i="1"/>
  <c r="D26" i="1"/>
  <c r="N25" i="1"/>
  <c r="L25" i="1" s="1"/>
  <c r="F25" i="1"/>
  <c r="D25" i="1"/>
  <c r="N24" i="1"/>
  <c r="L24" i="1"/>
  <c r="F24" i="1"/>
  <c r="D24" i="1"/>
  <c r="N23" i="1"/>
  <c r="L23" i="1"/>
  <c r="F23" i="1"/>
  <c r="D23" i="1"/>
  <c r="N22" i="1"/>
  <c r="L22" i="1" s="1"/>
  <c r="F22" i="1"/>
  <c r="D22" i="1"/>
  <c r="L21" i="1"/>
  <c r="F21" i="1"/>
  <c r="D21" i="1"/>
  <c r="N21" i="1" s="1"/>
  <c r="N20" i="1"/>
  <c r="L20" i="1"/>
  <c r="F20" i="1"/>
  <c r="D20" i="1"/>
  <c r="N19" i="1"/>
  <c r="L19" i="1"/>
  <c r="F19" i="1"/>
  <c r="D19" i="1"/>
  <c r="N18" i="1"/>
  <c r="L18" i="1"/>
  <c r="F18" i="1"/>
  <c r="D18" i="1"/>
  <c r="L17" i="1"/>
  <c r="O17" i="1" s="1"/>
  <c r="F17" i="1"/>
  <c r="N16" i="1"/>
  <c r="L16" i="1" s="1"/>
  <c r="F16" i="1"/>
  <c r="D16" i="1"/>
  <c r="N15" i="1"/>
  <c r="L15" i="1" s="1"/>
  <c r="F15" i="1"/>
  <c r="D15" i="1"/>
  <c r="N14" i="1"/>
  <c r="L14" i="1"/>
  <c r="F14" i="1"/>
  <c r="D14" i="1"/>
  <c r="L13" i="1"/>
  <c r="F13" i="1"/>
  <c r="D13" i="1"/>
  <c r="L12" i="1"/>
  <c r="F12" i="1"/>
  <c r="D12" i="1"/>
  <c r="N11" i="1"/>
  <c r="F11" i="1"/>
  <c r="D11" i="1"/>
  <c r="N10" i="1"/>
  <c r="L10" i="1" s="1"/>
  <c r="F10" i="1"/>
  <c r="D10" i="1"/>
  <c r="N9" i="1"/>
  <c r="L9" i="1"/>
  <c r="F9" i="1"/>
  <c r="D9" i="1"/>
  <c r="N8" i="1"/>
  <c r="L8" i="1" s="1"/>
  <c r="F8" i="1"/>
  <c r="D8" i="1"/>
  <c r="N7" i="1"/>
  <c r="L7" i="1"/>
  <c r="O7" i="1" s="1"/>
  <c r="F7" i="1"/>
  <c r="D7" i="1"/>
  <c r="P4" i="1"/>
  <c r="K4" i="1"/>
  <c r="J4" i="1"/>
  <c r="O3" i="1"/>
  <c r="I3" i="1"/>
  <c r="O2" i="1"/>
  <c r="F2" i="1" l="1"/>
  <c r="F4" i="1" s="1"/>
  <c r="J2" i="1"/>
  <c r="F3" i="1" l="1"/>
  <c r="O4" i="1"/>
  <c r="G1" i="1" l="1"/>
  <c r="C1" i="1"/>
  <c r="B1" i="1"/>
  <c r="G2" i="1"/>
  <c r="G4" i="1" s="1"/>
  <c r="G3" i="1"/>
  <c r="N4" i="1"/>
  <c r="F1" i="1" s="1"/>
  <c r="A4" i="1" l="1"/>
  <c r="B2" i="1" s="1"/>
  <c r="A3" i="1"/>
  <c r="D1" i="1" l="1"/>
  <c r="E1" i="1" s="1"/>
</calcChain>
</file>

<file path=xl/sharedStrings.xml><?xml version="1.0" encoding="utf-8"?>
<sst xmlns="http://schemas.openxmlformats.org/spreadsheetml/2006/main" count="278" uniqueCount="136">
  <si>
    <t>Nett Weight</t>
  </si>
  <si>
    <t>200mls</t>
  </si>
  <si>
    <t>Gross Weight</t>
  </si>
  <si>
    <t>500g</t>
  </si>
  <si>
    <t>Parcels</t>
  </si>
  <si>
    <t>1kg</t>
  </si>
  <si>
    <r>
      <rPr>
        <b/>
        <sz val="14"/>
        <color rgb="FF252525"/>
        <rFont val="Arial"/>
        <family val="2"/>
      </rPr>
      <t>PRODUCT LIST</t>
    </r>
  </si>
  <si>
    <r>
      <rPr>
        <b/>
        <sz val="11"/>
        <color rgb="FF252525"/>
        <rFont val="Calibri"/>
        <family val="2"/>
      </rPr>
      <t>CODE</t>
    </r>
  </si>
  <si>
    <r>
      <rPr>
        <sz val="11"/>
        <color rgb="FF252525"/>
        <rFont val="Calibri"/>
        <family val="2"/>
      </rPr>
      <t>DESCRIPTION</t>
    </r>
  </si>
  <si>
    <t>UNIT WEIGHT</t>
  </si>
  <si>
    <r>
      <rPr>
        <sz val="11"/>
        <color rgb="FF252525"/>
        <rFont val="Calibri"/>
        <family val="2"/>
      </rPr>
      <t>QTY</t>
    </r>
  </si>
  <si>
    <t>WEIGHT</t>
  </si>
  <si>
    <t>VOLUME</t>
  </si>
  <si>
    <t>Size</t>
  </si>
  <si>
    <t>L</t>
  </si>
  <si>
    <t>W</t>
  </si>
  <si>
    <t>H</t>
  </si>
  <si>
    <t>Unit Volume</t>
  </si>
  <si>
    <t>Volume</t>
  </si>
  <si>
    <t>Density</t>
  </si>
  <si>
    <t>FL002</t>
  </si>
  <si>
    <t>200ml Original Multi Purpose Spice</t>
  </si>
  <si>
    <t>200ml</t>
  </si>
  <si>
    <t>FL003</t>
  </si>
  <si>
    <t>500g Original Multi Purpose Spice</t>
  </si>
  <si>
    <t>FL004</t>
  </si>
  <si>
    <t>1kg Original Multi Purpose Spice</t>
  </si>
  <si>
    <t>FL005</t>
  </si>
  <si>
    <t>750g Original Multi Purpose Spice</t>
  </si>
  <si>
    <t>750g</t>
  </si>
  <si>
    <t>FL008</t>
  </si>
  <si>
    <t>200ml Hot &amp; Spicy</t>
  </si>
  <si>
    <t>FL009</t>
  </si>
  <si>
    <t>500g Hot &amp; Spicy</t>
  </si>
  <si>
    <t>FL010</t>
  </si>
  <si>
    <t>1kg Hot &amp; Spicy</t>
  </si>
  <si>
    <t>FL014</t>
  </si>
  <si>
    <t>200ml Worcester Sauce Spice</t>
  </si>
  <si>
    <t>FL015</t>
  </si>
  <si>
    <t>500g Worcester Sauce Spice</t>
  </si>
  <si>
    <t>FL016</t>
  </si>
  <si>
    <t>1kg Worcester Sauce Spice</t>
  </si>
  <si>
    <t>FL017</t>
  </si>
  <si>
    <t>750g Worcester Sauce Spice</t>
  </si>
  <si>
    <t>FL026</t>
  </si>
  <si>
    <t>200ml Red Wine &amp; Garlic Sprinkle</t>
  </si>
  <si>
    <t>FL027</t>
  </si>
  <si>
    <t>500g Red Wine &amp; Garlic Sprinkle</t>
  </si>
  <si>
    <t>FL028</t>
  </si>
  <si>
    <t>1kg Red Wine &amp; Garlic Sprinkle</t>
  </si>
  <si>
    <t>FL031</t>
  </si>
  <si>
    <t>250ml Curry Mix</t>
  </si>
  <si>
    <t>250ml</t>
  </si>
  <si>
    <t>FL032</t>
  </si>
  <si>
    <t>500g Curry Mix</t>
  </si>
  <si>
    <t>FL033</t>
  </si>
  <si>
    <t>1kg Curry Mix</t>
  </si>
  <si>
    <t>FL035</t>
  </si>
  <si>
    <t xml:space="preserve">200ml Chutney Sprinkle </t>
  </si>
  <si>
    <t>FL036</t>
  </si>
  <si>
    <t xml:space="preserve">500g Chutney Sprinkle </t>
  </si>
  <si>
    <t>FL037</t>
  </si>
  <si>
    <t xml:space="preserve">1kg Chutney Sprinkle </t>
  </si>
  <si>
    <t>FL038</t>
  </si>
  <si>
    <t>200ml Savoury Herbs</t>
  </si>
  <si>
    <t>FL039</t>
  </si>
  <si>
    <t>500g Savoury Herbs</t>
  </si>
  <si>
    <t>FL041</t>
  </si>
  <si>
    <t>200ml Salt &amp; Vinegar Seasoning</t>
  </si>
  <si>
    <t>FL042</t>
  </si>
  <si>
    <t>500g Salt &amp; Vinegar Seasoning</t>
  </si>
  <si>
    <t>FL043</t>
  </si>
  <si>
    <t>1kg Salt &amp; Vinegar Seasoning</t>
  </si>
  <si>
    <t>FL050</t>
  </si>
  <si>
    <t>100ml Butter Flavour</t>
  </si>
  <si>
    <t>100ml</t>
  </si>
  <si>
    <t>FL053</t>
  </si>
  <si>
    <t>100ml Sour Cream &amp; Chives Flavour</t>
  </si>
  <si>
    <t>FL056</t>
  </si>
  <si>
    <t>100ml Chutney Flavour</t>
  </si>
  <si>
    <t>FL059</t>
  </si>
  <si>
    <t>100ml Parmesan Cheese Flavour</t>
  </si>
  <si>
    <t>FL062</t>
  </si>
  <si>
    <t>100ml Cheese &amp; Onion Flavour</t>
  </si>
  <si>
    <t>FL065</t>
  </si>
  <si>
    <t>100ml Salt &amp; Vinegar Flavour</t>
  </si>
  <si>
    <t>FLBS001</t>
  </si>
  <si>
    <t>375ml Flippen Lekka Basting Sauce</t>
  </si>
  <si>
    <t>375ml</t>
  </si>
  <si>
    <t>GBOX</t>
  </si>
  <si>
    <t>Flippen Lekka Spice Gift Box</t>
  </si>
  <si>
    <t>Box Code</t>
  </si>
  <si>
    <t>Length(cm)</t>
  </si>
  <si>
    <t>Width (cm)</t>
  </si>
  <si>
    <t>Height (cm)</t>
  </si>
  <si>
    <t>Weight in GRAMS</t>
  </si>
  <si>
    <t>Volume in cm3</t>
  </si>
  <si>
    <t>Efficient Packing Units</t>
  </si>
  <si>
    <t>Special Packing cases</t>
  </si>
  <si>
    <t>Max Bottles</t>
  </si>
  <si>
    <t>Takes smaller Boxes</t>
  </si>
  <si>
    <t>BX-12-100</t>
  </si>
  <si>
    <t>12 x 100ml</t>
  </si>
  <si>
    <t>N</t>
  </si>
  <si>
    <t>BX-12-200</t>
  </si>
  <si>
    <t>12 x 200ml</t>
  </si>
  <si>
    <t>BX-24-200</t>
  </si>
  <si>
    <t>24 x 200ml</t>
  </si>
  <si>
    <t>12 x 250ml Curry</t>
  </si>
  <si>
    <t>BX-S</t>
  </si>
  <si>
    <t>Any products ; 50 x 200ml</t>
  </si>
  <si>
    <t>BX-M</t>
  </si>
  <si>
    <t>Any products</t>
  </si>
  <si>
    <t>BX-45</t>
  </si>
  <si>
    <t>50 x 250ml curry</t>
  </si>
  <si>
    <t>BX-L</t>
  </si>
  <si>
    <t>100 x 200ml ; 20 x 1kg</t>
  </si>
  <si>
    <t>BX-CAP</t>
  </si>
  <si>
    <t>8 x (12 x 200ml Boxes)</t>
  </si>
  <si>
    <t>-</t>
  </si>
  <si>
    <t>BX-EXP</t>
  </si>
  <si>
    <t>10 x (12 x 200ml Boxes)</t>
  </si>
  <si>
    <t>CODE</t>
  </si>
  <si>
    <t>DESCRIPTION</t>
  </si>
  <si>
    <t>Unit Contents Weight (Product)</t>
  </si>
  <si>
    <t>Volume2</t>
  </si>
  <si>
    <t>Estimated Parcels based on regression</t>
  </si>
  <si>
    <t>Round up to nearest int (Total Line Weight * 0,051) + 0,5</t>
  </si>
  <si>
    <t>('Estimated Parcels based on regression' * 0,5) + 'Total Line Weight' - Rounded to the next int</t>
  </si>
  <si>
    <t>Max KG Bags (units)</t>
  </si>
  <si>
    <t>50 x FL031 ; 96 x 200ml; 20 x 1kg</t>
  </si>
  <si>
    <t xml:space="preserve">Only used for Export orders to pack smaller boxes (12's) inside this box (10 x (12 x 200ml) ) </t>
  </si>
  <si>
    <t xml:space="preserve">Only used for Export orders to pack smaller boxes (12's) inside this box (up to 8  x 12 x 200ml) ) </t>
  </si>
  <si>
    <t>Y (10 x (12 x 200ml))</t>
  </si>
  <si>
    <t>Y (8 x (12 x 200ml))</t>
  </si>
  <si>
    <t>Estimated Gross Weight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</si>
</sst>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_-&quot;R&quot;* #,##0.00_-;\-&quot;R&quot;* #,##0.00_-;_-&quot;R&quot;* &quot;-&quot;??_-;_-@"/>
    <numFmt numFmtId="165" formatCode="0.000"/>
    <numFmt numFmtId="166" formatCode="_-* #,##0.000_-;\-* #,##0.000_-;_-* &quot;-&quot;??_-;_-@"/>
    <numFmt numFmtId="167" formatCode="_-* #,##0.0_-;\-* #,##0.0_-;_-* &quot;-&quot;??_-;_-@_-"/>
    <numFmt numFmtId="168" formatCode="_-* #,##0_-;\-* #,##0_-;_-* &quot;-&quot;??_-;_-@_-"/>
    <numFmt numFmtId="169" formatCode="_-* #,##0.000_-;\-* #,##0.000_-;_-* &quot;-&quot;??_-;_-@_-"/>
    <numFmt numFmtId="170" formatCode="_-* #,##0.0000_-;\-* #,##0.0000_-;_-* &quot;-&quot;??_-;_-@_-"/>
  </numFmts>
  <fonts count="33" x14ac:knownFonts="1">
    <font>
      <sz val="10"/>
      <color rgb="FF000000"/>
      <name val="Times New Roman"/>
      <scheme val="minor"/>
    </font>
    <font>
      <b/>
      <sz val="12"/>
      <color theme="1"/>
      <name val="Arial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0"/>
      <color theme="1"/>
      <name val="Times New Roman"/>
      <family val="1"/>
      <scheme val="minor"/>
    </font>
    <font>
      <sz val="10"/>
      <name val="Times New Roman"/>
      <family val="1"/>
    </font>
    <font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i/>
      <sz val="9"/>
      <color theme="1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Times New Roman"/>
      <family val="1"/>
    </font>
    <font>
      <b/>
      <sz val="14"/>
      <color rgb="FF252525"/>
      <name val="Arial"/>
      <family val="2"/>
    </font>
    <font>
      <b/>
      <sz val="11"/>
      <color rgb="FF252525"/>
      <name val="Calibri"/>
      <family val="2"/>
    </font>
    <font>
      <sz val="11"/>
      <color rgb="FF252525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Times New Roman"/>
      <family val="1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Aptos"/>
      <family val="2"/>
    </font>
    <font>
      <b/>
      <sz val="12"/>
      <color rgb="FF000000"/>
      <name val="Tahoma"/>
      <family val="2"/>
    </font>
    <font>
      <sz val="12"/>
      <name val="Times New Roman"/>
      <family val="1"/>
    </font>
    <font>
      <b/>
      <sz val="12"/>
      <color rgb="FF000000"/>
      <name val="Aptos"/>
      <family val="2"/>
    </font>
    <font>
      <sz val="12"/>
      <color theme="1"/>
      <name val="Times New Roman"/>
      <family val="1"/>
      <scheme val="minor"/>
    </font>
    <font>
      <sz val="10"/>
      <color rgb="FF000000"/>
      <name val="Times New Roman"/>
      <family val="1"/>
      <scheme val="minor"/>
    </font>
    <font>
      <sz val="18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1F1F1"/>
        <bgColor rgb="FFF1F1F1"/>
      </patternFill>
    </fill>
    <fill>
      <patternFill patternType="solid">
        <fgColor rgb="FF00B050"/>
        <bgColor rgb="FF00B050"/>
      </patternFill>
    </fill>
    <fill>
      <patternFill patternType="solid">
        <fgColor rgb="FF5DFFA6"/>
        <bgColor rgb="FF5DFFA6"/>
      </patternFill>
    </fill>
    <fill>
      <patternFill patternType="solid">
        <fgColor rgb="FFFF0000"/>
        <bgColor rgb="FFFF0000"/>
      </patternFill>
    </fill>
    <fill>
      <patternFill patternType="solid">
        <fgColor rgb="FFFF9B9B"/>
        <bgColor rgb="FFFF9B9B"/>
      </patternFill>
    </fill>
    <fill>
      <patternFill patternType="solid">
        <fgColor rgb="FFE36C09"/>
        <bgColor rgb="FFE36C09"/>
      </patternFill>
    </fill>
    <fill>
      <patternFill patternType="solid">
        <fgColor rgb="FFFABF8F"/>
        <bgColor rgb="FFFABF8F"/>
      </patternFill>
    </fill>
    <fill>
      <patternFill patternType="solid">
        <fgColor rgb="FF953734"/>
        <bgColor rgb="FF953734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F1FA7E"/>
        <bgColor rgb="FFF1FA7E"/>
      </patternFill>
    </fill>
    <fill>
      <patternFill patternType="solid">
        <fgColor rgb="FF7030A0"/>
        <bgColor rgb="FF7030A0"/>
      </patternFill>
    </fill>
    <fill>
      <patternFill patternType="solid">
        <fgColor rgb="FFB2A1C7"/>
        <bgColor rgb="FFB2A1C7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548DD4"/>
        <bgColor rgb="FF548DD4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4F6128"/>
        <bgColor rgb="FF4F6128"/>
      </patternFill>
    </fill>
    <fill>
      <patternFill patternType="solid">
        <fgColor theme="6"/>
        <bgColor theme="6"/>
      </patternFill>
    </fill>
    <fill>
      <patternFill patternType="solid">
        <fgColor rgb="FF31859B"/>
        <bgColor rgb="FF31859B"/>
      </patternFill>
    </fill>
  </fills>
  <borders count="1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D9D9D9"/>
      </top>
      <bottom style="thin">
        <color rgb="FFBFBFBF"/>
      </bottom>
      <diagonal/>
    </border>
  </borders>
  <cellStyleXfs count="2">
    <xf numFmtId="0" fontId="0" fillId="0" borderId="0"/>
    <xf numFmtId="43" fontId="31" fillId="0" borderId="0" applyFont="0" applyFill="0" applyBorder="0" applyAlignment="0" applyProtection="0"/>
  </cellStyleXfs>
  <cellXfs count="207">
    <xf numFmtId="0" fontId="0" fillId="0" borderId="0" xfId="0" applyAlignment="1">
      <alignment horizontal="left" vertical="top"/>
    </xf>
    <xf numFmtId="164" fontId="1" fillId="0" borderId="0" xfId="0" applyNumberFormat="1" applyFont="1" applyAlignment="1">
      <alignment horizontal="left" vertical="center" wrapText="1"/>
    </xf>
    <xf numFmtId="9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165" fontId="4" fillId="0" borderId="0" xfId="0" applyNumberFormat="1" applyFont="1" applyAlignment="1">
      <alignment horizontal="left" vertical="center" wrapText="1"/>
    </xf>
    <xf numFmtId="9" fontId="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0" fontId="9" fillId="2" borderId="5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left" vertical="top" wrapText="1"/>
    </xf>
    <xf numFmtId="9" fontId="10" fillId="2" borderId="6" xfId="0" applyNumberFormat="1" applyFont="1" applyFill="1" applyBorder="1" applyAlignment="1">
      <alignment horizontal="left" vertical="top" wrapText="1"/>
    </xf>
    <xf numFmtId="0" fontId="11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9" fontId="13" fillId="2" borderId="8" xfId="0" applyNumberFormat="1" applyFont="1" applyFill="1" applyBorder="1" applyAlignment="1">
      <alignment horizontal="center" vertical="center" wrapText="1"/>
    </xf>
    <xf numFmtId="9" fontId="12" fillId="2" borderId="8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left" vertical="top"/>
    </xf>
    <xf numFmtId="0" fontId="15" fillId="5" borderId="10" xfId="0" applyFont="1" applyFill="1" applyBorder="1" applyAlignment="1">
      <alignment horizontal="center" vertical="top"/>
    </xf>
    <xf numFmtId="0" fontId="15" fillId="5" borderId="1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15" fillId="5" borderId="10" xfId="0" applyFont="1" applyFill="1" applyBorder="1" applyAlignment="1">
      <alignment horizontal="left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left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left" vertical="top"/>
    </xf>
    <xf numFmtId="0" fontId="15" fillId="7" borderId="10" xfId="0" applyFont="1" applyFill="1" applyBorder="1" applyAlignment="1">
      <alignment horizontal="center" vertical="top"/>
    </xf>
    <xf numFmtId="0" fontId="14" fillId="8" borderId="7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left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left" vertical="top"/>
    </xf>
    <xf numFmtId="0" fontId="15" fillId="9" borderId="10" xfId="0" applyFont="1" applyFill="1" applyBorder="1" applyAlignment="1">
      <alignment horizontal="center" vertical="top"/>
    </xf>
    <xf numFmtId="0" fontId="14" fillId="10" borderId="7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left" vertical="top"/>
    </xf>
    <xf numFmtId="0" fontId="15" fillId="11" borderId="10" xfId="0" applyFont="1" applyFill="1" applyBorder="1" applyAlignment="1">
      <alignment horizontal="center" vertical="top"/>
    </xf>
    <xf numFmtId="0" fontId="15" fillId="11" borderId="10" xfId="0" applyFont="1" applyFill="1" applyBorder="1" applyAlignment="1">
      <alignment horizontal="left" vertical="center"/>
    </xf>
    <xf numFmtId="0" fontId="15" fillId="11" borderId="10" xfId="0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left" vertical="top"/>
    </xf>
    <xf numFmtId="0" fontId="15" fillId="13" borderId="10" xfId="0" applyFont="1" applyFill="1" applyBorder="1" applyAlignment="1">
      <alignment horizontal="center" vertical="top"/>
    </xf>
    <xf numFmtId="0" fontId="14" fillId="12" borderId="12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left" vertical="center"/>
    </xf>
    <xf numFmtId="0" fontId="15" fillId="13" borderId="10" xfId="0" applyFont="1" applyFill="1" applyBorder="1" applyAlignment="1">
      <alignment horizontal="center" vertical="center"/>
    </xf>
    <xf numFmtId="0" fontId="14" fillId="12" borderId="13" xfId="0" applyFont="1" applyFill="1" applyBorder="1" applyAlignment="1">
      <alignment horizontal="center" vertical="center" wrapText="1"/>
    </xf>
    <xf numFmtId="0" fontId="14" fillId="14" borderId="7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top"/>
    </xf>
    <xf numFmtId="0" fontId="15" fillId="15" borderId="10" xfId="0" applyFont="1" applyFill="1" applyBorder="1" applyAlignment="1">
      <alignment horizontal="center" vertical="top"/>
    </xf>
    <xf numFmtId="0" fontId="15" fillId="15" borderId="10" xfId="0" applyFont="1" applyFill="1" applyBorder="1" applyAlignment="1">
      <alignment horizontal="left" vertical="center"/>
    </xf>
    <xf numFmtId="0" fontId="15" fillId="15" borderId="10" xfId="0" applyFont="1" applyFill="1" applyBorder="1" applyAlignment="1">
      <alignment horizontal="center" vertical="center"/>
    </xf>
    <xf numFmtId="0" fontId="14" fillId="16" borderId="7" xfId="0" applyFont="1" applyFill="1" applyBorder="1" applyAlignment="1">
      <alignment horizontal="center" vertical="center" wrapText="1"/>
    </xf>
    <xf numFmtId="0" fontId="15" fillId="17" borderId="10" xfId="0" applyFont="1" applyFill="1" applyBorder="1" applyAlignment="1">
      <alignment horizontal="left" vertical="top"/>
    </xf>
    <xf numFmtId="0" fontId="15" fillId="17" borderId="10" xfId="0" applyFont="1" applyFill="1" applyBorder="1" applyAlignment="1">
      <alignment horizontal="center" vertical="top"/>
    </xf>
    <xf numFmtId="0" fontId="15" fillId="17" borderId="10" xfId="0" applyFont="1" applyFill="1" applyBorder="1" applyAlignment="1">
      <alignment horizontal="left" vertical="center"/>
    </xf>
    <xf numFmtId="0" fontId="15" fillId="17" borderId="10" xfId="0" applyFont="1" applyFill="1" applyBorder="1" applyAlignment="1">
      <alignment horizontal="center" vertical="center"/>
    </xf>
    <xf numFmtId="0" fontId="14" fillId="18" borderId="7" xfId="0" applyFont="1" applyFill="1" applyBorder="1" applyAlignment="1">
      <alignment horizontal="center" vertical="center" wrapText="1"/>
    </xf>
    <xf numFmtId="0" fontId="15" fillId="19" borderId="10" xfId="0" applyFont="1" applyFill="1" applyBorder="1" applyAlignment="1">
      <alignment horizontal="left" vertical="top"/>
    </xf>
    <xf numFmtId="0" fontId="15" fillId="19" borderId="10" xfId="0" applyFont="1" applyFill="1" applyBorder="1" applyAlignment="1">
      <alignment horizontal="center" vertical="top"/>
    </xf>
    <xf numFmtId="0" fontId="15" fillId="19" borderId="10" xfId="0" applyFont="1" applyFill="1" applyBorder="1" applyAlignment="1">
      <alignment horizontal="left" vertical="center"/>
    </xf>
    <xf numFmtId="0" fontId="15" fillId="19" borderId="10" xfId="0" applyFont="1" applyFill="1" applyBorder="1" applyAlignment="1">
      <alignment horizontal="center" vertical="center"/>
    </xf>
    <xf numFmtId="0" fontId="14" fillId="20" borderId="7" xfId="0" applyFont="1" applyFill="1" applyBorder="1" applyAlignment="1">
      <alignment horizontal="center" vertical="center" wrapText="1"/>
    </xf>
    <xf numFmtId="0" fontId="15" fillId="20" borderId="10" xfId="0" applyFont="1" applyFill="1" applyBorder="1" applyAlignment="1">
      <alignment horizontal="left" vertical="top"/>
    </xf>
    <xf numFmtId="0" fontId="15" fillId="20" borderId="10" xfId="0" applyFont="1" applyFill="1" applyBorder="1" applyAlignment="1">
      <alignment horizontal="center" vertical="top"/>
    </xf>
    <xf numFmtId="0" fontId="15" fillId="20" borderId="10" xfId="0" applyFont="1" applyFill="1" applyBorder="1" applyAlignment="1">
      <alignment horizontal="left" vertical="center"/>
    </xf>
    <xf numFmtId="0" fontId="15" fillId="20" borderId="10" xfId="0" applyFont="1" applyFill="1" applyBorder="1" applyAlignment="1">
      <alignment horizontal="center" vertical="center"/>
    </xf>
    <xf numFmtId="0" fontId="14" fillId="21" borderId="7" xfId="0" applyFont="1" applyFill="1" applyBorder="1" applyAlignment="1">
      <alignment horizontal="center" vertical="center" wrapText="1"/>
    </xf>
    <xf numFmtId="0" fontId="16" fillId="22" borderId="6" xfId="0" applyFont="1" applyFill="1" applyBorder="1" applyAlignment="1">
      <alignment horizontal="left" vertical="center" wrapText="1"/>
    </xf>
    <xf numFmtId="0" fontId="17" fillId="22" borderId="5" xfId="0" applyFont="1" applyFill="1" applyBorder="1" applyAlignment="1">
      <alignment horizontal="center" vertical="center" wrapText="1"/>
    </xf>
    <xf numFmtId="0" fontId="16" fillId="22" borderId="7" xfId="0" applyFont="1" applyFill="1" applyBorder="1" applyAlignment="1">
      <alignment horizontal="center" vertical="center" wrapText="1"/>
    </xf>
    <xf numFmtId="0" fontId="15" fillId="23" borderId="10" xfId="0" applyFont="1" applyFill="1" applyBorder="1" applyAlignment="1">
      <alignment horizontal="left" vertical="top"/>
    </xf>
    <xf numFmtId="0" fontId="17" fillId="23" borderId="10" xfId="0" applyFont="1" applyFill="1" applyBorder="1" applyAlignment="1">
      <alignment horizontal="center" vertical="center"/>
    </xf>
    <xf numFmtId="9" fontId="15" fillId="23" borderId="10" xfId="0" applyNumberFormat="1" applyFont="1" applyFill="1" applyBorder="1" applyAlignment="1">
      <alignment horizontal="left" vertical="top"/>
    </xf>
    <xf numFmtId="0" fontId="18" fillId="0" borderId="0" xfId="0" applyFont="1" applyAlignment="1">
      <alignment horizontal="center" vertical="top"/>
    </xf>
    <xf numFmtId="166" fontId="2" fillId="0" borderId="0" xfId="0" applyNumberFormat="1" applyFont="1" applyAlignment="1">
      <alignment horizontal="left" vertical="top"/>
    </xf>
    <xf numFmtId="0" fontId="2" fillId="0" borderId="0" xfId="0" quotePrefix="1" applyFont="1" applyAlignment="1">
      <alignment horizontal="left" vertical="top"/>
    </xf>
    <xf numFmtId="0" fontId="22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horizontal="right" vertic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68" fontId="15" fillId="5" borderId="10" xfId="1" applyNumberFormat="1" applyFont="1" applyFill="1" applyBorder="1" applyAlignment="1">
      <alignment horizontal="center" vertical="top"/>
    </xf>
    <xf numFmtId="169" fontId="15" fillId="5" borderId="10" xfId="1" applyNumberFormat="1" applyFont="1" applyFill="1" applyBorder="1" applyAlignment="1">
      <alignment horizontal="center" vertical="top"/>
    </xf>
    <xf numFmtId="169" fontId="15" fillId="5" borderId="10" xfId="1" applyNumberFormat="1" applyFont="1" applyFill="1" applyBorder="1" applyAlignment="1">
      <alignment horizontal="center" vertical="center"/>
    </xf>
    <xf numFmtId="169" fontId="15" fillId="7" borderId="10" xfId="1" applyNumberFormat="1" applyFont="1" applyFill="1" applyBorder="1" applyAlignment="1">
      <alignment horizontal="center" vertical="center"/>
    </xf>
    <xf numFmtId="169" fontId="15" fillId="7" borderId="10" xfId="1" applyNumberFormat="1" applyFont="1" applyFill="1" applyBorder="1" applyAlignment="1">
      <alignment horizontal="center" vertical="top"/>
    </xf>
    <xf numFmtId="169" fontId="15" fillId="9" borderId="10" xfId="1" applyNumberFormat="1" applyFont="1" applyFill="1" applyBorder="1" applyAlignment="1">
      <alignment horizontal="center" vertical="center"/>
    </xf>
    <xf numFmtId="169" fontId="15" fillId="9" borderId="10" xfId="1" applyNumberFormat="1" applyFont="1" applyFill="1" applyBorder="1" applyAlignment="1">
      <alignment horizontal="center" vertical="top"/>
    </xf>
    <xf numFmtId="169" fontId="15" fillId="11" borderId="10" xfId="1" applyNumberFormat="1" applyFont="1" applyFill="1" applyBorder="1" applyAlignment="1">
      <alignment horizontal="center" vertical="top"/>
    </xf>
    <xf numFmtId="169" fontId="15" fillId="13" borderId="10" xfId="1" applyNumberFormat="1" applyFont="1" applyFill="1" applyBorder="1" applyAlignment="1">
      <alignment horizontal="center" vertical="top"/>
    </xf>
    <xf numFmtId="169" fontId="15" fillId="13" borderId="10" xfId="1" applyNumberFormat="1" applyFont="1" applyFill="1" applyBorder="1" applyAlignment="1">
      <alignment horizontal="center" vertical="center"/>
    </xf>
    <xf numFmtId="169" fontId="15" fillId="15" borderId="10" xfId="1" applyNumberFormat="1" applyFont="1" applyFill="1" applyBorder="1" applyAlignment="1">
      <alignment horizontal="center" vertical="top"/>
    </xf>
    <xf numFmtId="169" fontId="15" fillId="17" borderId="10" xfId="1" applyNumberFormat="1" applyFont="1" applyFill="1" applyBorder="1" applyAlignment="1">
      <alignment horizontal="center" vertical="top"/>
    </xf>
    <xf numFmtId="169" fontId="15" fillId="17" borderId="10" xfId="1" applyNumberFormat="1" applyFont="1" applyFill="1" applyBorder="1" applyAlignment="1">
      <alignment horizontal="center" vertical="center"/>
    </xf>
    <xf numFmtId="169" fontId="15" fillId="19" borderId="10" xfId="1" applyNumberFormat="1" applyFont="1" applyFill="1" applyBorder="1" applyAlignment="1">
      <alignment horizontal="center" vertical="top"/>
    </xf>
    <xf numFmtId="169" fontId="15" fillId="19" borderId="10" xfId="1" applyNumberFormat="1" applyFont="1" applyFill="1" applyBorder="1" applyAlignment="1">
      <alignment horizontal="center" vertical="center"/>
    </xf>
    <xf numFmtId="169" fontId="15" fillId="20" borderId="10" xfId="1" applyNumberFormat="1" applyFont="1" applyFill="1" applyBorder="1" applyAlignment="1">
      <alignment horizontal="center" vertical="top"/>
    </xf>
    <xf numFmtId="169" fontId="15" fillId="20" borderId="10" xfId="1" applyNumberFormat="1" applyFont="1" applyFill="1" applyBorder="1" applyAlignment="1">
      <alignment horizontal="center" vertical="center"/>
    </xf>
    <xf numFmtId="170" fontId="15" fillId="5" borderId="10" xfId="1" applyNumberFormat="1" applyFont="1" applyFill="1" applyBorder="1" applyAlignment="1">
      <alignment horizontal="center" vertical="top"/>
    </xf>
    <xf numFmtId="170" fontId="15" fillId="5" borderId="10" xfId="1" applyNumberFormat="1" applyFont="1" applyFill="1" applyBorder="1" applyAlignment="1">
      <alignment horizontal="center" vertical="center"/>
    </xf>
    <xf numFmtId="170" fontId="15" fillId="7" borderId="10" xfId="1" applyNumberFormat="1" applyFont="1" applyFill="1" applyBorder="1" applyAlignment="1">
      <alignment horizontal="center" vertical="center"/>
    </xf>
    <xf numFmtId="170" fontId="15" fillId="7" borderId="10" xfId="1" applyNumberFormat="1" applyFont="1" applyFill="1" applyBorder="1" applyAlignment="1">
      <alignment horizontal="center" vertical="top"/>
    </xf>
    <xf numFmtId="170" fontId="15" fillId="9" borderId="10" xfId="1" applyNumberFormat="1" applyFont="1" applyFill="1" applyBorder="1" applyAlignment="1">
      <alignment horizontal="center" vertical="center"/>
    </xf>
    <xf numFmtId="170" fontId="15" fillId="9" borderId="10" xfId="1" applyNumberFormat="1" applyFont="1" applyFill="1" applyBorder="1" applyAlignment="1">
      <alignment horizontal="center" vertical="top"/>
    </xf>
    <xf numFmtId="170" fontId="15" fillId="11" borderId="10" xfId="1" applyNumberFormat="1" applyFont="1" applyFill="1" applyBorder="1" applyAlignment="1">
      <alignment horizontal="center" vertical="top"/>
    </xf>
    <xf numFmtId="170" fontId="15" fillId="13" borderId="10" xfId="1" applyNumberFormat="1" applyFont="1" applyFill="1" applyBorder="1" applyAlignment="1">
      <alignment horizontal="center" vertical="top"/>
    </xf>
    <xf numFmtId="170" fontId="15" fillId="13" borderId="10" xfId="1" applyNumberFormat="1" applyFont="1" applyFill="1" applyBorder="1" applyAlignment="1">
      <alignment horizontal="center" vertical="center"/>
    </xf>
    <xf numFmtId="170" fontId="15" fillId="15" borderId="10" xfId="1" applyNumberFormat="1" applyFont="1" applyFill="1" applyBorder="1" applyAlignment="1">
      <alignment horizontal="center" vertical="top"/>
    </xf>
    <xf numFmtId="170" fontId="15" fillId="17" borderId="10" xfId="1" applyNumberFormat="1" applyFont="1" applyFill="1" applyBorder="1" applyAlignment="1">
      <alignment horizontal="center" vertical="top"/>
    </xf>
    <xf numFmtId="170" fontId="15" fillId="17" borderId="10" xfId="1" applyNumberFormat="1" applyFont="1" applyFill="1" applyBorder="1" applyAlignment="1">
      <alignment horizontal="center" vertical="center"/>
    </xf>
    <xf numFmtId="170" fontId="15" fillId="19" borderId="10" xfId="1" applyNumberFormat="1" applyFont="1" applyFill="1" applyBorder="1" applyAlignment="1">
      <alignment horizontal="center" vertical="top"/>
    </xf>
    <xf numFmtId="170" fontId="15" fillId="19" borderId="10" xfId="1" applyNumberFormat="1" applyFont="1" applyFill="1" applyBorder="1" applyAlignment="1">
      <alignment horizontal="center" vertical="center"/>
    </xf>
    <xf numFmtId="170" fontId="15" fillId="20" borderId="10" xfId="1" applyNumberFormat="1" applyFont="1" applyFill="1" applyBorder="1" applyAlignment="1">
      <alignment horizontal="center" vertical="top"/>
    </xf>
    <xf numFmtId="170" fontId="15" fillId="20" borderId="10" xfId="1" applyNumberFormat="1" applyFont="1" applyFill="1" applyBorder="1" applyAlignment="1">
      <alignment horizontal="center" vertical="center"/>
    </xf>
    <xf numFmtId="170" fontId="16" fillId="22" borderId="7" xfId="1" applyNumberFormat="1" applyFont="1" applyFill="1" applyBorder="1" applyAlignment="1">
      <alignment horizontal="center" vertical="center" wrapText="1"/>
    </xf>
    <xf numFmtId="169" fontId="15" fillId="11" borderId="10" xfId="1" applyNumberFormat="1" applyFont="1" applyFill="1" applyBorder="1" applyAlignment="1">
      <alignment horizontal="center" vertical="center"/>
    </xf>
    <xf numFmtId="169" fontId="15" fillId="15" borderId="10" xfId="1" applyNumberFormat="1" applyFont="1" applyFill="1" applyBorder="1" applyAlignment="1">
      <alignment horizontal="center" vertical="center"/>
    </xf>
    <xf numFmtId="169" fontId="12" fillId="22" borderId="6" xfId="1" applyNumberFormat="1" applyFont="1" applyFill="1" applyBorder="1" applyAlignment="1">
      <alignment horizontal="center" vertical="center" wrapText="1"/>
    </xf>
    <xf numFmtId="169" fontId="15" fillId="23" borderId="10" xfId="1" applyNumberFormat="1" applyFont="1" applyFill="1" applyBorder="1" applyAlignment="1">
      <alignment horizontal="center" vertical="center"/>
    </xf>
    <xf numFmtId="168" fontId="15" fillId="5" borderId="10" xfId="0" applyNumberFormat="1" applyFont="1" applyFill="1" applyBorder="1" applyAlignment="1">
      <alignment horizontal="center" vertical="top"/>
    </xf>
    <xf numFmtId="0" fontId="22" fillId="0" borderId="0" xfId="0" applyFont="1" applyAlignment="1">
      <alignment horizontal="left" indent="1"/>
    </xf>
    <xf numFmtId="0" fontId="24" fillId="0" borderId="0" xfId="0" applyFont="1" applyAlignment="1">
      <alignment horizontal="left" wrapText="1" indent="1"/>
    </xf>
    <xf numFmtId="0" fontId="22" fillId="0" borderId="0" xfId="0" applyFont="1" applyAlignment="1">
      <alignment horizontal="left" wrapText="1" indent="1"/>
    </xf>
    <xf numFmtId="0" fontId="10" fillId="2" borderId="6" xfId="0" applyFont="1" applyFill="1" applyBorder="1" applyAlignment="1">
      <alignment horizontal="left" wrapText="1" indent="1"/>
    </xf>
    <xf numFmtId="0" fontId="12" fillId="2" borderId="8" xfId="0" applyFont="1" applyFill="1" applyBorder="1" applyAlignment="1">
      <alignment horizontal="left" vertical="center" wrapText="1" indent="1"/>
    </xf>
    <xf numFmtId="0" fontId="15" fillId="5" borderId="10" xfId="0" applyFont="1" applyFill="1" applyBorder="1" applyAlignment="1">
      <alignment horizontal="left" vertical="top" indent="1"/>
    </xf>
    <xf numFmtId="0" fontId="15" fillId="5" borderId="10" xfId="0" applyFont="1" applyFill="1" applyBorder="1" applyAlignment="1">
      <alignment horizontal="left" vertical="center" indent="1"/>
    </xf>
    <xf numFmtId="0" fontId="15" fillId="7" borderId="10" xfId="0" applyFont="1" applyFill="1" applyBorder="1" applyAlignment="1">
      <alignment horizontal="left" vertical="center" indent="1"/>
    </xf>
    <xf numFmtId="0" fontId="15" fillId="7" borderId="10" xfId="0" applyFont="1" applyFill="1" applyBorder="1" applyAlignment="1">
      <alignment horizontal="left" vertical="top" indent="1"/>
    </xf>
    <xf numFmtId="0" fontId="15" fillId="9" borderId="10" xfId="0" applyFont="1" applyFill="1" applyBorder="1" applyAlignment="1">
      <alignment horizontal="left" vertical="center" indent="1"/>
    </xf>
    <xf numFmtId="0" fontId="15" fillId="9" borderId="10" xfId="0" applyFont="1" applyFill="1" applyBorder="1" applyAlignment="1">
      <alignment horizontal="left" vertical="top" indent="1"/>
    </xf>
    <xf numFmtId="0" fontId="15" fillId="11" borderId="10" xfId="0" applyFont="1" applyFill="1" applyBorder="1" applyAlignment="1">
      <alignment horizontal="left" vertical="top" indent="1"/>
    </xf>
    <xf numFmtId="0" fontId="15" fillId="11" borderId="10" xfId="0" applyFont="1" applyFill="1" applyBorder="1" applyAlignment="1">
      <alignment horizontal="left" vertical="center" indent="1"/>
    </xf>
    <xf numFmtId="0" fontId="15" fillId="13" borderId="10" xfId="0" applyFont="1" applyFill="1" applyBorder="1" applyAlignment="1">
      <alignment horizontal="left" vertical="top" indent="1"/>
    </xf>
    <xf numFmtId="0" fontId="15" fillId="13" borderId="10" xfId="0" applyFont="1" applyFill="1" applyBorder="1" applyAlignment="1">
      <alignment horizontal="left" vertical="center" indent="1"/>
    </xf>
    <xf numFmtId="0" fontId="15" fillId="15" borderId="10" xfId="0" applyFont="1" applyFill="1" applyBorder="1" applyAlignment="1">
      <alignment horizontal="left" vertical="top" indent="1"/>
    </xf>
    <xf numFmtId="0" fontId="15" fillId="15" borderId="10" xfId="0" applyFont="1" applyFill="1" applyBorder="1" applyAlignment="1">
      <alignment horizontal="left" vertical="center" indent="1"/>
    </xf>
    <xf numFmtId="0" fontId="15" fillId="17" borderId="10" xfId="0" applyFont="1" applyFill="1" applyBorder="1" applyAlignment="1">
      <alignment horizontal="left" vertical="top" indent="1"/>
    </xf>
    <xf numFmtId="0" fontId="15" fillId="17" borderId="10" xfId="0" applyFont="1" applyFill="1" applyBorder="1" applyAlignment="1">
      <alignment horizontal="left" vertical="center" indent="1"/>
    </xf>
    <xf numFmtId="0" fontId="15" fillId="19" borderId="10" xfId="0" applyFont="1" applyFill="1" applyBorder="1" applyAlignment="1">
      <alignment horizontal="left" vertical="top" indent="1"/>
    </xf>
    <xf numFmtId="0" fontId="15" fillId="19" borderId="10" xfId="0" applyFont="1" applyFill="1" applyBorder="1" applyAlignment="1">
      <alignment horizontal="left" vertical="center" indent="1"/>
    </xf>
    <xf numFmtId="0" fontId="15" fillId="20" borderId="10" xfId="0" applyFont="1" applyFill="1" applyBorder="1" applyAlignment="1">
      <alignment horizontal="left" vertical="top" indent="1"/>
    </xf>
    <xf numFmtId="0" fontId="15" fillId="20" borderId="10" xfId="0" applyFont="1" applyFill="1" applyBorder="1" applyAlignment="1">
      <alignment horizontal="left" vertical="center" indent="1"/>
    </xf>
    <xf numFmtId="0" fontId="16" fillId="22" borderId="6" xfId="0" applyFont="1" applyFill="1" applyBorder="1" applyAlignment="1">
      <alignment horizontal="left" vertical="center" wrapText="1" indent="1"/>
    </xf>
    <xf numFmtId="0" fontId="15" fillId="23" borderId="10" xfId="0" applyFont="1" applyFill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vertical="top" indent="1"/>
    </xf>
    <xf numFmtId="0" fontId="12" fillId="2" borderId="8" xfId="0" applyFont="1" applyFill="1" applyBorder="1" applyAlignment="1">
      <alignment horizontal="left" vertical="center" wrapText="1" indent="2"/>
    </xf>
    <xf numFmtId="0" fontId="15" fillId="5" borderId="10" xfId="0" applyFont="1" applyFill="1" applyBorder="1" applyAlignment="1">
      <alignment horizontal="left" vertical="top" indent="2"/>
    </xf>
    <xf numFmtId="0" fontId="15" fillId="5" borderId="10" xfId="0" applyFont="1" applyFill="1" applyBorder="1" applyAlignment="1">
      <alignment horizontal="left" vertical="center" indent="2"/>
    </xf>
    <xf numFmtId="0" fontId="15" fillId="7" borderId="10" xfId="0" applyFont="1" applyFill="1" applyBorder="1" applyAlignment="1">
      <alignment horizontal="left" vertical="center" indent="2"/>
    </xf>
    <xf numFmtId="0" fontId="15" fillId="7" borderId="10" xfId="0" applyFont="1" applyFill="1" applyBorder="1" applyAlignment="1">
      <alignment horizontal="left" vertical="top" indent="2"/>
    </xf>
    <xf numFmtId="0" fontId="15" fillId="9" borderId="10" xfId="0" applyFont="1" applyFill="1" applyBorder="1" applyAlignment="1">
      <alignment horizontal="left" vertical="center" indent="2"/>
    </xf>
    <xf numFmtId="0" fontId="15" fillId="9" borderId="10" xfId="0" applyFont="1" applyFill="1" applyBorder="1" applyAlignment="1">
      <alignment horizontal="left" vertical="top" indent="2"/>
    </xf>
    <xf numFmtId="0" fontId="15" fillId="11" borderId="10" xfId="0" applyFont="1" applyFill="1" applyBorder="1" applyAlignment="1">
      <alignment horizontal="left" vertical="top" indent="2"/>
    </xf>
    <xf numFmtId="0" fontId="15" fillId="11" borderId="10" xfId="0" applyFont="1" applyFill="1" applyBorder="1" applyAlignment="1">
      <alignment horizontal="left" vertical="center" indent="2"/>
    </xf>
    <xf numFmtId="0" fontId="15" fillId="13" borderId="10" xfId="0" applyFont="1" applyFill="1" applyBorder="1" applyAlignment="1">
      <alignment horizontal="left" vertical="top" indent="2"/>
    </xf>
    <xf numFmtId="0" fontId="15" fillId="13" borderId="10" xfId="0" applyFont="1" applyFill="1" applyBorder="1" applyAlignment="1">
      <alignment horizontal="left" vertical="center" indent="2"/>
    </xf>
    <xf numFmtId="0" fontId="15" fillId="15" borderId="10" xfId="0" applyFont="1" applyFill="1" applyBorder="1" applyAlignment="1">
      <alignment horizontal="left" vertical="top" indent="2"/>
    </xf>
    <xf numFmtId="0" fontId="15" fillId="15" borderId="10" xfId="0" applyFont="1" applyFill="1" applyBorder="1" applyAlignment="1">
      <alignment horizontal="left" vertical="center" indent="2"/>
    </xf>
    <xf numFmtId="0" fontId="15" fillId="17" borderId="10" xfId="0" applyFont="1" applyFill="1" applyBorder="1" applyAlignment="1">
      <alignment horizontal="left" vertical="top" indent="2"/>
    </xf>
    <xf numFmtId="0" fontId="15" fillId="17" borderId="10" xfId="0" applyFont="1" applyFill="1" applyBorder="1" applyAlignment="1">
      <alignment horizontal="left" vertical="center" indent="2"/>
    </xf>
    <xf numFmtId="0" fontId="15" fillId="19" borderId="10" xfId="0" applyFont="1" applyFill="1" applyBorder="1" applyAlignment="1">
      <alignment horizontal="left" vertical="top" indent="2"/>
    </xf>
    <xf numFmtId="0" fontId="15" fillId="19" borderId="10" xfId="0" applyFont="1" applyFill="1" applyBorder="1" applyAlignment="1">
      <alignment horizontal="left" vertical="center" indent="2"/>
    </xf>
    <xf numFmtId="0" fontId="15" fillId="20" borderId="10" xfId="0" applyFont="1" applyFill="1" applyBorder="1" applyAlignment="1">
      <alignment horizontal="left" vertical="top" indent="2"/>
    </xf>
    <xf numFmtId="0" fontId="15" fillId="20" borderId="10" xfId="0" applyFont="1" applyFill="1" applyBorder="1" applyAlignment="1">
      <alignment horizontal="left" vertical="center" indent="2"/>
    </xf>
    <xf numFmtId="0" fontId="0" fillId="0" borderId="0" xfId="0" applyAlignment="1">
      <alignment horizontal="left" vertical="top" indent="2"/>
    </xf>
    <xf numFmtId="0" fontId="23" fillId="0" borderId="0" xfId="0" applyFont="1" applyAlignment="1">
      <alignment horizontal="left" vertical="top" indent="1"/>
    </xf>
    <xf numFmtId="0" fontId="24" fillId="0" borderId="0" xfId="0" applyFont="1" applyAlignment="1">
      <alignment horizontal="left" vertical="center" wrapText="1" indent="1"/>
    </xf>
    <xf numFmtId="0" fontId="30" fillId="0" borderId="0" xfId="0" applyFont="1" applyAlignment="1">
      <alignment horizontal="left" vertical="top" indent="1"/>
    </xf>
    <xf numFmtId="0" fontId="10" fillId="2" borderId="6" xfId="0" applyFont="1" applyFill="1" applyBorder="1" applyAlignment="1">
      <alignment horizontal="left" vertical="top" wrapText="1" indent="1"/>
    </xf>
    <xf numFmtId="0" fontId="15" fillId="22" borderId="10" xfId="0" applyFont="1" applyFill="1" applyBorder="1" applyAlignment="1">
      <alignment horizontal="left" vertical="center" indent="1"/>
    </xf>
    <xf numFmtId="0" fontId="15" fillId="23" borderId="10" xfId="0" applyFont="1" applyFill="1" applyBorder="1" applyAlignment="1">
      <alignment horizontal="left" vertical="top" indent="1"/>
    </xf>
    <xf numFmtId="0" fontId="2" fillId="0" borderId="0" xfId="0" applyFont="1" applyAlignment="1">
      <alignment horizontal="left" vertical="top" indent="1"/>
    </xf>
    <xf numFmtId="0" fontId="23" fillId="0" borderId="0" xfId="0" applyFont="1" applyAlignment="1">
      <alignment horizontal="left" vertical="top" indent="2"/>
    </xf>
    <xf numFmtId="0" fontId="24" fillId="0" borderId="0" xfId="0" applyFont="1" applyAlignment="1">
      <alignment horizontal="left" vertical="center" wrapText="1" indent="2"/>
    </xf>
    <xf numFmtId="0" fontId="30" fillId="0" borderId="0" xfId="0" applyFont="1" applyAlignment="1">
      <alignment horizontal="left" vertical="top" indent="2"/>
    </xf>
    <xf numFmtId="0" fontId="10" fillId="2" borderId="6" xfId="0" applyFont="1" applyFill="1" applyBorder="1" applyAlignment="1">
      <alignment horizontal="left" vertical="top" wrapText="1" indent="2"/>
    </xf>
    <xf numFmtId="0" fontId="15" fillId="22" borderId="10" xfId="0" applyFont="1" applyFill="1" applyBorder="1" applyAlignment="1">
      <alignment horizontal="left" vertical="center" indent="2"/>
    </xf>
    <xf numFmtId="0" fontId="15" fillId="23" borderId="10" xfId="0" applyFont="1" applyFill="1" applyBorder="1" applyAlignment="1">
      <alignment horizontal="left" vertical="top" indent="2"/>
    </xf>
    <xf numFmtId="0" fontId="2" fillId="0" borderId="0" xfId="0" applyFont="1" applyAlignment="1">
      <alignment horizontal="left" vertical="top" indent="2"/>
    </xf>
    <xf numFmtId="0" fontId="22" fillId="0" borderId="0" xfId="0" applyFont="1" applyAlignment="1">
      <alignment horizontal="left" vertical="top" indent="1"/>
    </xf>
    <xf numFmtId="167" fontId="24" fillId="0" borderId="0" xfId="1" applyNumberFormat="1" applyFont="1" applyAlignment="1">
      <alignment horizontal="left" vertical="center" wrapText="1" indent="1"/>
    </xf>
    <xf numFmtId="2" fontId="32" fillId="0" borderId="0" xfId="0" applyNumberFormat="1" applyFont="1" applyAlignment="1">
      <alignment horizontal="center" vertical="center" wrapText="1"/>
    </xf>
    <xf numFmtId="168" fontId="2" fillId="0" borderId="0" xfId="1" applyNumberFormat="1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25" fillId="0" borderId="0" xfId="0" applyFont="1" applyAlignment="1">
      <alignment horizontal="right" vertical="center" wrapText="1"/>
    </xf>
    <xf numFmtId="0" fontId="23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center" vertical="center" wrapText="1"/>
    </xf>
    <xf numFmtId="164" fontId="27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right" wrapText="1"/>
    </xf>
    <xf numFmtId="170" fontId="5" fillId="0" borderId="0" xfId="1" applyNumberFormat="1" applyFont="1" applyAlignment="1">
      <alignment horizontal="left" vertical="top"/>
    </xf>
    <xf numFmtId="170" fontId="0" fillId="0" borderId="0" xfId="1" applyNumberFormat="1" applyFont="1" applyAlignment="1">
      <alignment horizontal="left" vertical="top"/>
    </xf>
  </cellXfs>
  <cellStyles count="2">
    <cellStyle name="Comma" xfId="1" builtinId="3"/>
    <cellStyle name="Normal" xfId="0" builtinId="0"/>
  </cellStyles>
  <dxfs count="10">
    <dxf>
      <numFmt numFmtId="170" formatCode="_-* #,##0.0000_-;\-* #,##0.0000_-;_-* &quot;-&quot;??_-;_-@_-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Available Boxes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Product Weights, Dims, Volume, -style" pivot="0" count="3" xr9:uid="{00000000-0011-0000-FFFF-FFFF01000000}">
      <tableStyleElement type="headerRow" dxfId="6"/>
      <tableStyleElement type="firstRowStripe" dxfId="5"/>
      <tableStyleElement type="secondRowStripe" dxfId="4"/>
    </tableStyle>
    <tableStyle name="Shorthand Dictionary Examples-style" pivot="0" count="3" xr9:uid="{00000000-0011-0000-FFFF-FFFF02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10">
  <tableColumns count="11">
    <tableColumn id="1" xr3:uid="{00000000-0010-0000-0000-000001000000}" name="Box Code"/>
    <tableColumn id="2" xr3:uid="{00000000-0010-0000-0000-000002000000}" name="Length(cm)"/>
    <tableColumn id="3" xr3:uid="{00000000-0010-0000-0000-000003000000}" name="Width (cm)"/>
    <tableColumn id="4" xr3:uid="{00000000-0010-0000-0000-000004000000}" name="Height (cm)"/>
    <tableColumn id="5" xr3:uid="{00000000-0010-0000-0000-000005000000}" name="Weight in GRAMS"/>
    <tableColumn id="6" xr3:uid="{00000000-0010-0000-0000-000006000000}" name="Volume in cm3"/>
    <tableColumn id="7" xr3:uid="{00000000-0010-0000-0000-000007000000}" name="Efficient Packing Units"/>
    <tableColumn id="8" xr3:uid="{00000000-0010-0000-0000-000008000000}" name="Max KG Bags (units)"/>
    <tableColumn id="9" xr3:uid="{00000000-0010-0000-0000-000009000000}" name="Special Packing cases"/>
    <tableColumn id="10" xr3:uid="{00000000-0010-0000-0000-00000A000000}" name="Max Bottles"/>
    <tableColumn id="11" xr3:uid="{00000000-0010-0000-0000-00000B000000}" name="Takes smaller Boxes"/>
  </tableColumns>
  <tableStyleInfo name="Available Box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K34">
  <tableColumns count="11">
    <tableColumn id="1" xr3:uid="{00000000-0010-0000-0100-000001000000}" name="CODE"/>
    <tableColumn id="2" xr3:uid="{00000000-0010-0000-0100-000002000000}" name="DESCRIPTION"/>
    <tableColumn id="3" xr3:uid="{00000000-0010-0000-0100-000003000000}" name="UNIT WEIGHT"/>
    <tableColumn id="4" xr3:uid="{00000000-0010-0000-0100-000004000000}" name="Unit Contents Weight (Product)"/>
    <tableColumn id="5" xr3:uid="{00000000-0010-0000-0100-000005000000}" name="Size"/>
    <tableColumn id="6" xr3:uid="{00000000-0010-0000-0100-000006000000}" name="L"/>
    <tableColumn id="7" xr3:uid="{00000000-0010-0000-0100-000007000000}" name="W"/>
    <tableColumn id="8" xr3:uid="{00000000-0010-0000-0100-000008000000}" name="H"/>
    <tableColumn id="9" xr3:uid="{00000000-0010-0000-0100-000009000000}" name="Unit Volume"/>
    <tableColumn id="10" xr3:uid="{00000000-0010-0000-0100-00000A000000}" name="Volume2"/>
    <tableColumn id="11" xr3:uid="{00000000-0010-0000-0100-00000B000000}" name="Density" dataDxfId="0" dataCellStyle="Comma"/>
  </tableColumns>
  <tableStyleInfo name="Product Weights, Dims, Volume,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selection activeCell="A5" sqref="A5:O39"/>
    </sheetView>
  </sheetViews>
  <sheetFormatPr defaultColWidth="14.5" defaultRowHeight="15" customHeight="1" x14ac:dyDescent="0.2"/>
  <cols>
    <col min="1" max="1" width="15.1640625" customWidth="1"/>
    <col min="2" max="2" width="43.83203125" customWidth="1"/>
    <col min="3" max="3" width="17.1640625" customWidth="1"/>
    <col min="4" max="4" width="17.83203125" customWidth="1"/>
    <col min="5" max="5" width="15.33203125" customWidth="1"/>
    <col min="6" max="6" width="23" customWidth="1"/>
    <col min="7" max="7" width="15.6640625" customWidth="1"/>
    <col min="8" max="8" width="11.83203125" style="157" customWidth="1"/>
    <col min="9" max="9" width="8.83203125" style="177" customWidth="1"/>
    <col min="10" max="10" width="11.33203125" style="157" customWidth="1"/>
    <col min="11" max="11" width="9.6640625" style="157" bestFit="1" customWidth="1"/>
    <col min="12" max="12" width="13" bestFit="1" customWidth="1"/>
    <col min="13" max="13" width="14.6640625" customWidth="1"/>
    <col min="14" max="14" width="8.83203125" bestFit="1" customWidth="1"/>
    <col min="15" max="15" width="15.1640625" customWidth="1"/>
    <col min="16" max="16" width="18.1640625" customWidth="1"/>
    <col min="17" max="17" width="22.5" customWidth="1"/>
    <col min="18" max="26" width="8.6640625" customWidth="1"/>
  </cols>
  <sheetData>
    <row r="1" spans="1:26" ht="16.5" customHeight="1" x14ac:dyDescent="0.25">
      <c r="A1" s="84"/>
      <c r="B1" s="1">
        <f>170/F3</f>
        <v>10.800508259212197</v>
      </c>
      <c r="C1" s="1">
        <f>F3-25</f>
        <v>-9.259999999999998</v>
      </c>
      <c r="D1" s="1">
        <f>A4-170</f>
        <v>-57.319999999999993</v>
      </c>
      <c r="E1" s="1">
        <f>D1/C1</f>
        <v>6.1900647948164149</v>
      </c>
      <c r="F1" s="85">
        <f>ROUNDUP(N4,0)</f>
        <v>1</v>
      </c>
      <c r="G1" s="86">
        <f>F3*1.1</f>
        <v>17.314000000000004</v>
      </c>
      <c r="H1" s="131"/>
      <c r="I1" s="185"/>
      <c r="J1" s="178"/>
      <c r="K1" s="178"/>
      <c r="N1" s="2"/>
    </row>
    <row r="2" spans="1:26" ht="16.5" customHeight="1" x14ac:dyDescent="0.2">
      <c r="A2" s="87"/>
      <c r="B2" s="1">
        <f>A4/F3</f>
        <v>7.1588310038119438</v>
      </c>
      <c r="C2" s="199" t="s">
        <v>0</v>
      </c>
      <c r="D2" s="200"/>
      <c r="E2" s="200"/>
      <c r="F2" s="88">
        <f>SUM(F7:F39)</f>
        <v>15.240000000000002</v>
      </c>
      <c r="G2" s="89">
        <f>F3-25</f>
        <v>-9.259999999999998</v>
      </c>
      <c r="H2" s="132" t="s">
        <v>1</v>
      </c>
      <c r="I2" s="186">
        <f>SUM(E7,E11,E14,E18,E24,E27,E29)</f>
        <v>7</v>
      </c>
      <c r="J2" s="193">
        <f>I2/96</f>
        <v>7.2916666666666671E-2</v>
      </c>
      <c r="K2" s="193">
        <f>I2/100</f>
        <v>7.0000000000000007E-2</v>
      </c>
      <c r="L2" s="4"/>
      <c r="M2" s="4"/>
      <c r="N2" s="5"/>
      <c r="O2" s="3">
        <f t="shared" ref="O2:O3" si="0">Q2*R2*S2</f>
        <v>3086.1</v>
      </c>
      <c r="P2" s="3"/>
      <c r="Q2" s="6">
        <v>18</v>
      </c>
      <c r="R2" s="6">
        <v>13.5</v>
      </c>
      <c r="S2" s="6">
        <v>12.7</v>
      </c>
    </row>
    <row r="3" spans="1:26" ht="16.5" customHeight="1" x14ac:dyDescent="0.2">
      <c r="A3" s="201">
        <f>((AVERAGE(F4,N4)))</f>
        <v>0.85237901089192802</v>
      </c>
      <c r="B3" s="200"/>
      <c r="C3" s="199" t="s">
        <v>2</v>
      </c>
      <c r="D3" s="200"/>
      <c r="E3" s="200"/>
      <c r="F3" s="88">
        <f>(F4*0.5)+F2</f>
        <v>15.740000000000002</v>
      </c>
      <c r="G3" s="90">
        <f>F3*7</f>
        <v>110.18</v>
      </c>
      <c r="H3" s="132" t="s">
        <v>3</v>
      </c>
      <c r="I3" s="186">
        <f>SUM(E8,E12,E15,E19,E22,E25,E28,E30)</f>
        <v>8</v>
      </c>
      <c r="J3" s="179">
        <v>96</v>
      </c>
      <c r="K3" s="179">
        <v>100</v>
      </c>
      <c r="M3" s="3"/>
      <c r="N3" s="2"/>
      <c r="O3" s="3">
        <f t="shared" si="0"/>
        <v>5445</v>
      </c>
      <c r="P3" s="3"/>
      <c r="Q3" s="6">
        <v>22</v>
      </c>
      <c r="R3" s="6">
        <v>16.5</v>
      </c>
      <c r="S3" s="6">
        <v>15</v>
      </c>
    </row>
    <row r="4" spans="1:26" ht="16.5" customHeight="1" x14ac:dyDescent="0.25">
      <c r="A4" s="202">
        <f>AVERAGE(G3:G4)+(F4*5)</f>
        <v>112.68</v>
      </c>
      <c r="B4" s="203"/>
      <c r="C4" s="204" t="s">
        <v>4</v>
      </c>
      <c r="D4" s="203"/>
      <c r="E4" s="203"/>
      <c r="F4" s="194">
        <f>ROUNDUP(((F2*0.051)),0)</f>
        <v>1</v>
      </c>
      <c r="G4" s="91">
        <f>(G2*7)+170</f>
        <v>105.18</v>
      </c>
      <c r="H4" s="133" t="s">
        <v>5</v>
      </c>
      <c r="I4" s="187">
        <f>SUM(E9,E13,E16,E20,E23,E26,E31)</f>
        <v>7</v>
      </c>
      <c r="J4" s="180">
        <f>39*28*28</f>
        <v>30576</v>
      </c>
      <c r="K4" s="192">
        <f>40*30*30</f>
        <v>36000</v>
      </c>
      <c r="L4" s="7"/>
      <c r="M4" s="7"/>
      <c r="N4" s="8">
        <f>(O4/J4)</f>
        <v>0.70475802178385594</v>
      </c>
      <c r="O4" s="8">
        <f>SUM( O7:O38)</f>
        <v>21548.681274063179</v>
      </c>
      <c r="P4" s="7">
        <f>Q4*R4*S4</f>
        <v>11475</v>
      </c>
      <c r="Q4" s="6">
        <v>27</v>
      </c>
      <c r="R4" s="6">
        <v>25</v>
      </c>
      <c r="S4" s="6">
        <v>17</v>
      </c>
    </row>
    <row r="5" spans="1:26" ht="16.5" customHeight="1" x14ac:dyDescent="0.15">
      <c r="A5" s="196" t="s">
        <v>6</v>
      </c>
      <c r="B5" s="197"/>
      <c r="C5" s="197"/>
      <c r="D5" s="197"/>
      <c r="E5" s="198"/>
      <c r="F5" s="9"/>
      <c r="G5" s="10"/>
      <c r="H5" s="134"/>
      <c r="I5" s="188"/>
      <c r="J5" s="181"/>
      <c r="K5" s="181"/>
      <c r="L5" s="11"/>
      <c r="M5" s="11"/>
      <c r="N5" s="12"/>
      <c r="O5" s="11"/>
      <c r="P5" s="13"/>
    </row>
    <row r="6" spans="1:26" ht="16.5" customHeight="1" x14ac:dyDescent="0.2">
      <c r="A6" s="14" t="s">
        <v>7</v>
      </c>
      <c r="B6" s="15" t="s">
        <v>8</v>
      </c>
      <c r="C6" s="14" t="s">
        <v>9</v>
      </c>
      <c r="D6" s="16"/>
      <c r="E6" s="17" t="s">
        <v>10</v>
      </c>
      <c r="F6" s="14" t="s">
        <v>11</v>
      </c>
      <c r="G6" s="18" t="s">
        <v>12</v>
      </c>
      <c r="H6" s="135" t="s">
        <v>13</v>
      </c>
      <c r="I6" s="158" t="s">
        <v>14</v>
      </c>
      <c r="J6" s="135" t="s">
        <v>15</v>
      </c>
      <c r="K6" s="135" t="s">
        <v>16</v>
      </c>
      <c r="L6" s="19" t="s">
        <v>17</v>
      </c>
      <c r="M6" s="18" t="s">
        <v>18</v>
      </c>
      <c r="N6" s="20" t="s">
        <v>19</v>
      </c>
      <c r="O6" s="19" t="s">
        <v>17</v>
      </c>
      <c r="P6" s="21"/>
    </row>
    <row r="7" spans="1:26" ht="12" customHeight="1" x14ac:dyDescent="0.2">
      <c r="A7" s="22" t="s">
        <v>20</v>
      </c>
      <c r="B7" s="23" t="s">
        <v>21</v>
      </c>
      <c r="C7" s="93">
        <v>0.191</v>
      </c>
      <c r="D7" s="93">
        <f>C7-0.028</f>
        <v>0.16300000000000001</v>
      </c>
      <c r="E7" s="25">
        <v>1</v>
      </c>
      <c r="F7" s="24">
        <f t="shared" ref="F7:F39" si="1">E7*C7</f>
        <v>0.191</v>
      </c>
      <c r="G7" s="130">
        <f>E7*L7</f>
        <v>365</v>
      </c>
      <c r="H7" s="136" t="s">
        <v>22</v>
      </c>
      <c r="I7" s="159">
        <v>50</v>
      </c>
      <c r="J7" s="136">
        <v>50</v>
      </c>
      <c r="K7" s="136">
        <v>146</v>
      </c>
      <c r="L7" s="92">
        <f>(K7*J7*I7)/1000</f>
        <v>365</v>
      </c>
      <c r="M7" s="24">
        <v>200</v>
      </c>
      <c r="N7" s="109">
        <f>D7/0.2</f>
        <v>0.81499999999999995</v>
      </c>
      <c r="O7" s="195">
        <f>L7*E7</f>
        <v>365</v>
      </c>
      <c r="P7" s="27"/>
      <c r="Q7" s="28"/>
      <c r="R7" s="26"/>
      <c r="S7" s="26"/>
      <c r="T7" s="26"/>
      <c r="U7" s="26"/>
      <c r="V7" s="26"/>
      <c r="W7" s="26"/>
      <c r="X7" s="26"/>
      <c r="Y7" s="26"/>
      <c r="Z7" s="26"/>
    </row>
    <row r="8" spans="1:26" ht="12" customHeight="1" x14ac:dyDescent="0.2">
      <c r="A8" s="22" t="s">
        <v>23</v>
      </c>
      <c r="B8" s="29" t="s">
        <v>24</v>
      </c>
      <c r="C8" s="94">
        <v>0.505</v>
      </c>
      <c r="D8" s="94">
        <f>C8-0.005</f>
        <v>0.5</v>
      </c>
      <c r="E8" s="31">
        <v>1</v>
      </c>
      <c r="F8" s="30">
        <f t="shared" si="1"/>
        <v>0.505</v>
      </c>
      <c r="G8" s="130">
        <f t="shared" ref="G8:G38" si="2">E8*L8</f>
        <v>613.49693251533745</v>
      </c>
      <c r="H8" s="137" t="s">
        <v>3</v>
      </c>
      <c r="I8" s="160">
        <v>130</v>
      </c>
      <c r="J8" s="137">
        <v>230</v>
      </c>
      <c r="K8" s="137">
        <v>21</v>
      </c>
      <c r="L8" s="92">
        <f t="shared" ref="L8:L10" si="3">M8/N8</f>
        <v>613.49693251533745</v>
      </c>
      <c r="M8" s="30">
        <v>500</v>
      </c>
      <c r="N8" s="110">
        <f t="shared" ref="N8:N10" si="4">(($D$7*1000))/200</f>
        <v>0.81499999999999995</v>
      </c>
      <c r="O8" s="195">
        <f t="shared" ref="O8:O39" si="5">L8*E8</f>
        <v>613.49693251533745</v>
      </c>
      <c r="P8" s="26"/>
      <c r="Q8" s="28"/>
      <c r="R8" s="26"/>
      <c r="S8" s="26"/>
      <c r="T8" s="26"/>
      <c r="U8" s="26"/>
      <c r="V8" s="26"/>
      <c r="W8" s="26"/>
      <c r="X8" s="26"/>
      <c r="Y8" s="26"/>
      <c r="Z8" s="26"/>
    </row>
    <row r="9" spans="1:26" ht="12" customHeight="1" x14ac:dyDescent="0.2">
      <c r="A9" s="22" t="s">
        <v>25</v>
      </c>
      <c r="B9" s="29" t="s">
        <v>26</v>
      </c>
      <c r="C9" s="94">
        <v>1.0069999999999999</v>
      </c>
      <c r="D9" s="94">
        <f t="shared" ref="D9:D10" si="6">C9-0.01</f>
        <v>0.99699999999999989</v>
      </c>
      <c r="E9" s="31">
        <v>1</v>
      </c>
      <c r="F9" s="30">
        <f t="shared" si="1"/>
        <v>1.0069999999999999</v>
      </c>
      <c r="G9" s="130">
        <f t="shared" si="2"/>
        <v>1226.9938650306749</v>
      </c>
      <c r="H9" s="137" t="s">
        <v>5</v>
      </c>
      <c r="I9" s="160">
        <v>130</v>
      </c>
      <c r="J9" s="137">
        <v>280</v>
      </c>
      <c r="K9" s="137">
        <v>34</v>
      </c>
      <c r="L9" s="92">
        <f t="shared" si="3"/>
        <v>1226.9938650306749</v>
      </c>
      <c r="M9" s="30">
        <v>1000</v>
      </c>
      <c r="N9" s="110">
        <f t="shared" si="4"/>
        <v>0.81499999999999995</v>
      </c>
      <c r="O9" s="195">
        <f t="shared" si="5"/>
        <v>1226.9938650306749</v>
      </c>
      <c r="P9" s="26"/>
      <c r="Q9" s="28"/>
      <c r="R9" s="26"/>
      <c r="S9" s="26"/>
      <c r="T9" s="26"/>
      <c r="U9" s="26"/>
      <c r="V9" s="26"/>
      <c r="W9" s="26"/>
      <c r="X9" s="26"/>
      <c r="Y9" s="26"/>
      <c r="Z9" s="26"/>
    </row>
    <row r="10" spans="1:26" ht="12" customHeight="1" x14ac:dyDescent="0.2">
      <c r="A10" s="22" t="s">
        <v>27</v>
      </c>
      <c r="B10" s="23" t="s">
        <v>28</v>
      </c>
      <c r="C10" s="93">
        <v>0.76</v>
      </c>
      <c r="D10" s="93">
        <f t="shared" si="6"/>
        <v>0.75</v>
      </c>
      <c r="E10" s="25">
        <v>1</v>
      </c>
      <c r="F10" s="24">
        <f t="shared" si="1"/>
        <v>0.76</v>
      </c>
      <c r="G10" s="130">
        <f t="shared" si="2"/>
        <v>920.24539877300617</v>
      </c>
      <c r="H10" s="136" t="s">
        <v>29</v>
      </c>
      <c r="I10" s="159">
        <v>130</v>
      </c>
      <c r="J10" s="136">
        <v>280</v>
      </c>
      <c r="K10" s="136">
        <v>25</v>
      </c>
      <c r="L10" s="92">
        <f t="shared" si="3"/>
        <v>920.24539877300617</v>
      </c>
      <c r="M10" s="24">
        <v>750</v>
      </c>
      <c r="N10" s="109">
        <f t="shared" si="4"/>
        <v>0.81499999999999995</v>
      </c>
      <c r="O10" s="195">
        <f t="shared" si="5"/>
        <v>920.24539877300617</v>
      </c>
      <c r="P10" s="27"/>
      <c r="Q10" s="28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2" customHeight="1" x14ac:dyDescent="0.2">
      <c r="A11" s="32" t="s">
        <v>30</v>
      </c>
      <c r="B11" s="33" t="s">
        <v>31</v>
      </c>
      <c r="C11" s="95">
        <v>0.187</v>
      </c>
      <c r="D11" s="95">
        <f>C11-0.028</f>
        <v>0.159</v>
      </c>
      <c r="E11" s="25">
        <v>1</v>
      </c>
      <c r="F11" s="34">
        <f t="shared" si="1"/>
        <v>0.187</v>
      </c>
      <c r="G11" s="130">
        <f t="shared" si="2"/>
        <v>365</v>
      </c>
      <c r="H11" s="138" t="s">
        <v>22</v>
      </c>
      <c r="I11" s="161">
        <v>50</v>
      </c>
      <c r="J11" s="138">
        <v>50</v>
      </c>
      <c r="K11" s="138">
        <v>146</v>
      </c>
      <c r="L11" s="92">
        <f>I11*J11*K11/1000</f>
        <v>365</v>
      </c>
      <c r="M11" s="34">
        <v>200</v>
      </c>
      <c r="N11" s="111">
        <f>(($C$11*1000))/200</f>
        <v>0.93500000000000005</v>
      </c>
      <c r="O11" s="195">
        <f t="shared" si="5"/>
        <v>365</v>
      </c>
      <c r="P11" s="26"/>
      <c r="Q11" s="28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2" customHeight="1" x14ac:dyDescent="0.2">
      <c r="A12" s="32" t="s">
        <v>32</v>
      </c>
      <c r="B12" s="35" t="s">
        <v>33</v>
      </c>
      <c r="C12" s="96">
        <v>0.505</v>
      </c>
      <c r="D12" s="96">
        <f>C12-0.005</f>
        <v>0.5</v>
      </c>
      <c r="E12" s="31">
        <v>1</v>
      </c>
      <c r="F12" s="36">
        <f t="shared" si="1"/>
        <v>0.505</v>
      </c>
      <c r="G12" s="130">
        <f t="shared" si="2"/>
        <v>534.75935828877004</v>
      </c>
      <c r="H12" s="139" t="s">
        <v>3</v>
      </c>
      <c r="I12" s="162">
        <v>130</v>
      </c>
      <c r="J12" s="139">
        <v>230</v>
      </c>
      <c r="K12" s="139">
        <v>21</v>
      </c>
      <c r="L12" s="92">
        <f t="shared" ref="L12:L13" si="7">M12/N12</f>
        <v>534.75935828877004</v>
      </c>
      <c r="M12" s="36">
        <v>500</v>
      </c>
      <c r="N12" s="112">
        <v>0.93500000000000005</v>
      </c>
      <c r="O12" s="195">
        <f t="shared" si="5"/>
        <v>534.75935828877004</v>
      </c>
      <c r="P12" s="27"/>
      <c r="Q12" s="28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2" customHeight="1" x14ac:dyDescent="0.2">
      <c r="A13" s="32" t="s">
        <v>34</v>
      </c>
      <c r="B13" s="33" t="s">
        <v>35</v>
      </c>
      <c r="C13" s="95">
        <v>1.0069999999999999</v>
      </c>
      <c r="D13" s="95">
        <f>C13-0.01</f>
        <v>0.99699999999999989</v>
      </c>
      <c r="E13" s="31">
        <v>1</v>
      </c>
      <c r="F13" s="34">
        <f t="shared" si="1"/>
        <v>1.0069999999999999</v>
      </c>
      <c r="G13" s="130">
        <f t="shared" si="2"/>
        <v>1069.5187165775401</v>
      </c>
      <c r="H13" s="138" t="s">
        <v>5</v>
      </c>
      <c r="I13" s="161">
        <v>130</v>
      </c>
      <c r="J13" s="138">
        <v>280</v>
      </c>
      <c r="K13" s="138">
        <v>34</v>
      </c>
      <c r="L13" s="92">
        <f t="shared" si="7"/>
        <v>1069.5187165775401</v>
      </c>
      <c r="M13" s="34">
        <v>1000</v>
      </c>
      <c r="N13" s="111">
        <v>0.93500000000000005</v>
      </c>
      <c r="O13" s="195">
        <f t="shared" si="5"/>
        <v>1069.5187165775401</v>
      </c>
      <c r="P13" s="26"/>
      <c r="Q13" s="28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2" customHeight="1" x14ac:dyDescent="0.2">
      <c r="A14" s="37" t="s">
        <v>36</v>
      </c>
      <c r="B14" s="38" t="s">
        <v>37</v>
      </c>
      <c r="C14" s="97">
        <v>0.19400000000000001</v>
      </c>
      <c r="D14" s="97">
        <f>C14-0.028</f>
        <v>0.16600000000000001</v>
      </c>
      <c r="E14" s="25">
        <v>1</v>
      </c>
      <c r="F14" s="39">
        <f t="shared" si="1"/>
        <v>0.19400000000000001</v>
      </c>
      <c r="G14" s="130">
        <f t="shared" si="2"/>
        <v>365</v>
      </c>
      <c r="H14" s="140" t="s">
        <v>22</v>
      </c>
      <c r="I14" s="163">
        <v>50</v>
      </c>
      <c r="J14" s="140">
        <v>50</v>
      </c>
      <c r="K14" s="140">
        <v>146</v>
      </c>
      <c r="L14" s="92">
        <f>(K14*J14*I14)/1000</f>
        <v>365</v>
      </c>
      <c r="M14" s="39">
        <v>200</v>
      </c>
      <c r="N14" s="113">
        <f t="shared" ref="N14:N16" si="8">(($C$14*1000)-28)/200</f>
        <v>0.83</v>
      </c>
      <c r="O14" s="195">
        <f t="shared" si="5"/>
        <v>365</v>
      </c>
      <c r="P14" s="26"/>
      <c r="Q14" s="28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2" customHeight="1" x14ac:dyDescent="0.2">
      <c r="A15" s="37" t="s">
        <v>38</v>
      </c>
      <c r="B15" s="40" t="s">
        <v>39</v>
      </c>
      <c r="C15" s="98">
        <v>0.505</v>
      </c>
      <c r="D15" s="98">
        <f>C15-0.005</f>
        <v>0.5</v>
      </c>
      <c r="E15" s="25">
        <v>1</v>
      </c>
      <c r="F15" s="41">
        <f t="shared" si="1"/>
        <v>0.505</v>
      </c>
      <c r="G15" s="130">
        <f t="shared" si="2"/>
        <v>602.40963855421694</v>
      </c>
      <c r="H15" s="141" t="s">
        <v>3</v>
      </c>
      <c r="I15" s="164">
        <v>130</v>
      </c>
      <c r="J15" s="141">
        <v>230</v>
      </c>
      <c r="K15" s="141">
        <v>21</v>
      </c>
      <c r="L15" s="92">
        <f t="shared" ref="L15:L17" si="9">M15/N15</f>
        <v>602.40963855421694</v>
      </c>
      <c r="M15" s="41">
        <v>500</v>
      </c>
      <c r="N15" s="114">
        <f t="shared" si="8"/>
        <v>0.83</v>
      </c>
      <c r="O15" s="195">
        <f t="shared" si="5"/>
        <v>602.40963855421694</v>
      </c>
      <c r="P15" s="27"/>
      <c r="Q15" s="28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2" customHeight="1" x14ac:dyDescent="0.2">
      <c r="A16" s="37" t="s">
        <v>40</v>
      </c>
      <c r="B16" s="38" t="s">
        <v>41</v>
      </c>
      <c r="C16" s="97">
        <v>1.0069999999999999</v>
      </c>
      <c r="D16" s="97">
        <f>C16-0.01</f>
        <v>0.99699999999999989</v>
      </c>
      <c r="E16" s="31">
        <v>1</v>
      </c>
      <c r="F16" s="39">
        <f t="shared" si="1"/>
        <v>1.0069999999999999</v>
      </c>
      <c r="G16" s="130">
        <f t="shared" si="2"/>
        <v>1204.8192771084339</v>
      </c>
      <c r="H16" s="140" t="s">
        <v>5</v>
      </c>
      <c r="I16" s="163">
        <v>130</v>
      </c>
      <c r="J16" s="140">
        <v>280</v>
      </c>
      <c r="K16" s="140">
        <v>34</v>
      </c>
      <c r="L16" s="92">
        <f t="shared" si="9"/>
        <v>1204.8192771084339</v>
      </c>
      <c r="M16" s="39">
        <v>1000</v>
      </c>
      <c r="N16" s="113">
        <f t="shared" si="8"/>
        <v>0.83</v>
      </c>
      <c r="O16" s="195">
        <f t="shared" si="5"/>
        <v>1204.8192771084339</v>
      </c>
      <c r="P16" s="26"/>
      <c r="Q16" s="28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2" customHeight="1" x14ac:dyDescent="0.2">
      <c r="A17" s="37" t="s">
        <v>42</v>
      </c>
      <c r="B17" s="38" t="s">
        <v>43</v>
      </c>
      <c r="C17" s="97">
        <v>0.76</v>
      </c>
      <c r="D17" s="97">
        <v>0.75</v>
      </c>
      <c r="E17" s="31">
        <v>1</v>
      </c>
      <c r="F17" s="39">
        <f t="shared" si="1"/>
        <v>0.76</v>
      </c>
      <c r="G17" s="130">
        <f t="shared" si="2"/>
        <v>903.61445783132535</v>
      </c>
      <c r="H17" s="140" t="s">
        <v>29</v>
      </c>
      <c r="I17" s="163">
        <v>130</v>
      </c>
      <c r="J17" s="140">
        <v>280</v>
      </c>
      <c r="K17" s="140">
        <v>25</v>
      </c>
      <c r="L17" s="92">
        <f t="shared" si="9"/>
        <v>903.61445783132535</v>
      </c>
      <c r="M17" s="39">
        <v>750</v>
      </c>
      <c r="N17" s="113">
        <v>0.83</v>
      </c>
      <c r="O17" s="195">
        <f t="shared" si="5"/>
        <v>903.61445783132535</v>
      </c>
      <c r="P17" s="26"/>
      <c r="Q17" s="28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2" customHeight="1" x14ac:dyDescent="0.2">
      <c r="A18" s="42" t="s">
        <v>44</v>
      </c>
      <c r="B18" s="43" t="s">
        <v>45</v>
      </c>
      <c r="C18" s="99">
        <v>0.17699999999999999</v>
      </c>
      <c r="D18" s="99">
        <f>C18-0.028</f>
        <v>0.14899999999999999</v>
      </c>
      <c r="E18" s="25">
        <v>1</v>
      </c>
      <c r="F18" s="44">
        <f t="shared" si="1"/>
        <v>0.17699999999999999</v>
      </c>
      <c r="G18" s="130">
        <f t="shared" si="2"/>
        <v>365</v>
      </c>
      <c r="H18" s="142" t="s">
        <v>22</v>
      </c>
      <c r="I18" s="165">
        <v>50</v>
      </c>
      <c r="J18" s="142">
        <v>50</v>
      </c>
      <c r="K18" s="142">
        <v>146</v>
      </c>
      <c r="L18" s="92">
        <f>(K18*J18*I18)/1000</f>
        <v>365</v>
      </c>
      <c r="M18" s="44">
        <v>200</v>
      </c>
      <c r="N18" s="115">
        <f t="shared" ref="N18:N20" si="10">(($C$18*1000)-28)/200</f>
        <v>0.745</v>
      </c>
      <c r="O18" s="195">
        <f t="shared" si="5"/>
        <v>365</v>
      </c>
      <c r="P18" s="27"/>
      <c r="Q18" s="28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2" customHeight="1" x14ac:dyDescent="0.2">
      <c r="A19" s="42" t="s">
        <v>46</v>
      </c>
      <c r="B19" s="45" t="s">
        <v>47</v>
      </c>
      <c r="C19" s="126">
        <v>0.505</v>
      </c>
      <c r="D19" s="126">
        <f>C19-0.005</f>
        <v>0.5</v>
      </c>
      <c r="E19" s="25">
        <v>1</v>
      </c>
      <c r="F19" s="46">
        <f t="shared" si="1"/>
        <v>0.505</v>
      </c>
      <c r="G19" s="130">
        <f t="shared" si="2"/>
        <v>671.14093959731542</v>
      </c>
      <c r="H19" s="143" t="s">
        <v>3</v>
      </c>
      <c r="I19" s="166">
        <v>250</v>
      </c>
      <c r="J19" s="143">
        <v>150</v>
      </c>
      <c r="K19" s="143">
        <v>30</v>
      </c>
      <c r="L19" s="92">
        <f t="shared" ref="L19:L20" si="11">M19/N19</f>
        <v>671.14093959731542</v>
      </c>
      <c r="M19" s="46">
        <v>500</v>
      </c>
      <c r="N19" s="115">
        <f t="shared" si="10"/>
        <v>0.745</v>
      </c>
      <c r="O19" s="195">
        <f t="shared" si="5"/>
        <v>671.14093959731542</v>
      </c>
      <c r="P19" s="26"/>
      <c r="Q19" s="28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2" customHeight="1" x14ac:dyDescent="0.2">
      <c r="A20" s="42" t="s">
        <v>48</v>
      </c>
      <c r="B20" s="45" t="s">
        <v>49</v>
      </c>
      <c r="C20" s="126">
        <v>1.0069999999999999</v>
      </c>
      <c r="D20" s="126">
        <f>C20-0.01</f>
        <v>0.99699999999999989</v>
      </c>
      <c r="E20" s="31">
        <v>1</v>
      </c>
      <c r="F20" s="46">
        <f t="shared" si="1"/>
        <v>1.0069999999999999</v>
      </c>
      <c r="G20" s="130">
        <f t="shared" si="2"/>
        <v>1342.2818791946308</v>
      </c>
      <c r="H20" s="143" t="s">
        <v>5</v>
      </c>
      <c r="I20" s="166">
        <v>130</v>
      </c>
      <c r="J20" s="143">
        <v>280</v>
      </c>
      <c r="K20" s="143">
        <v>35</v>
      </c>
      <c r="L20" s="92">
        <f t="shared" si="11"/>
        <v>1342.2818791946308</v>
      </c>
      <c r="M20" s="46">
        <v>1000</v>
      </c>
      <c r="N20" s="115">
        <f t="shared" si="10"/>
        <v>0.745</v>
      </c>
      <c r="O20" s="195">
        <f t="shared" si="5"/>
        <v>1342.2818791946308</v>
      </c>
      <c r="P20" s="26"/>
      <c r="Q20" s="28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2" customHeight="1" x14ac:dyDescent="0.2">
      <c r="A21" s="47" t="s">
        <v>50</v>
      </c>
      <c r="B21" s="48" t="s">
        <v>51</v>
      </c>
      <c r="C21" s="100">
        <v>0.186</v>
      </c>
      <c r="D21" s="100">
        <f>C21-0.022</f>
        <v>0.16400000000000001</v>
      </c>
      <c r="E21" s="31">
        <v>1</v>
      </c>
      <c r="F21" s="49">
        <f t="shared" si="1"/>
        <v>0.186</v>
      </c>
      <c r="G21" s="130">
        <f t="shared" si="2"/>
        <v>598.5</v>
      </c>
      <c r="H21" s="144" t="s">
        <v>52</v>
      </c>
      <c r="I21" s="167">
        <v>100</v>
      </c>
      <c r="J21" s="144">
        <v>95</v>
      </c>
      <c r="K21" s="144">
        <v>63</v>
      </c>
      <c r="L21" s="92">
        <f>(K21*J21*I21)/1000</f>
        <v>598.5</v>
      </c>
      <c r="M21" s="49">
        <v>280</v>
      </c>
      <c r="N21" s="116">
        <f>D21*1000/M21</f>
        <v>0.58571428571428574</v>
      </c>
      <c r="O21" s="195">
        <f t="shared" si="5"/>
        <v>598.5</v>
      </c>
      <c r="P21" s="27"/>
      <c r="Q21" s="28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2" customHeight="1" x14ac:dyDescent="0.2">
      <c r="A22" s="50" t="s">
        <v>53</v>
      </c>
      <c r="B22" s="51" t="s">
        <v>54</v>
      </c>
      <c r="C22" s="101">
        <v>0.505</v>
      </c>
      <c r="D22" s="101">
        <f>C22-0.005</f>
        <v>0.5</v>
      </c>
      <c r="E22" s="25">
        <v>1</v>
      </c>
      <c r="F22" s="52">
        <f t="shared" si="1"/>
        <v>0.505</v>
      </c>
      <c r="G22" s="130">
        <f t="shared" si="2"/>
        <v>791.13924050632909</v>
      </c>
      <c r="H22" s="145" t="s">
        <v>3</v>
      </c>
      <c r="I22" s="168">
        <v>130</v>
      </c>
      <c r="J22" s="145">
        <v>280</v>
      </c>
      <c r="K22" s="145">
        <v>24</v>
      </c>
      <c r="L22" s="92">
        <f t="shared" ref="L22:L23" si="12">M22/N22</f>
        <v>791.13924050632909</v>
      </c>
      <c r="M22" s="52">
        <v>500</v>
      </c>
      <c r="N22" s="117">
        <f t="shared" ref="N22:N23" si="13">(($C$21*1000)-28)/250</f>
        <v>0.63200000000000001</v>
      </c>
      <c r="O22" s="195">
        <f t="shared" si="5"/>
        <v>791.13924050632909</v>
      </c>
      <c r="P22" s="26"/>
      <c r="Q22" s="28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2" customHeight="1" x14ac:dyDescent="0.2">
      <c r="A23" s="53" t="s">
        <v>55</v>
      </c>
      <c r="B23" s="51" t="s">
        <v>56</v>
      </c>
      <c r="C23" s="101">
        <v>1.0069999999999999</v>
      </c>
      <c r="D23" s="101">
        <f>C23-0.01</f>
        <v>0.99699999999999989</v>
      </c>
      <c r="E23" s="25">
        <v>1</v>
      </c>
      <c r="F23" s="52">
        <f t="shared" si="1"/>
        <v>1.0069999999999999</v>
      </c>
      <c r="G23" s="130">
        <f t="shared" si="2"/>
        <v>1582.2784810126582</v>
      </c>
      <c r="H23" s="145" t="s">
        <v>5</v>
      </c>
      <c r="I23" s="168">
        <v>180</v>
      </c>
      <c r="J23" s="145">
        <v>280</v>
      </c>
      <c r="K23" s="145">
        <v>34</v>
      </c>
      <c r="L23" s="92">
        <f t="shared" si="12"/>
        <v>1582.2784810126582</v>
      </c>
      <c r="M23" s="52">
        <v>1000</v>
      </c>
      <c r="N23" s="117">
        <f t="shared" si="13"/>
        <v>0.63200000000000001</v>
      </c>
      <c r="O23" s="195">
        <f t="shared" si="5"/>
        <v>1582.2784810126582</v>
      </c>
      <c r="P23" s="26"/>
      <c r="Q23" s="28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2" customHeight="1" x14ac:dyDescent="0.2">
      <c r="A24" s="54" t="s">
        <v>57</v>
      </c>
      <c r="B24" s="55" t="s">
        <v>58</v>
      </c>
      <c r="C24" s="102">
        <v>0.217</v>
      </c>
      <c r="D24" s="102">
        <f>C24-0.028</f>
        <v>0.189</v>
      </c>
      <c r="E24" s="31">
        <v>1</v>
      </c>
      <c r="F24" s="56">
        <f t="shared" si="1"/>
        <v>0.217</v>
      </c>
      <c r="G24" s="130">
        <f t="shared" si="2"/>
        <v>365</v>
      </c>
      <c r="H24" s="146" t="s">
        <v>22</v>
      </c>
      <c r="I24" s="169">
        <v>50</v>
      </c>
      <c r="J24" s="146">
        <v>50</v>
      </c>
      <c r="K24" s="146">
        <v>146</v>
      </c>
      <c r="L24" s="92">
        <f>(K24*J24*I24)/1000</f>
        <v>365</v>
      </c>
      <c r="M24" s="56">
        <v>200</v>
      </c>
      <c r="N24" s="118">
        <f>((C24*1000)-28)/200</f>
        <v>0.94499999999999995</v>
      </c>
      <c r="O24" s="195">
        <f t="shared" si="5"/>
        <v>365</v>
      </c>
      <c r="P24" s="27"/>
      <c r="Q24" s="28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2" customHeight="1" x14ac:dyDescent="0.2">
      <c r="A25" s="54" t="s">
        <v>59</v>
      </c>
      <c r="B25" s="57" t="s">
        <v>60</v>
      </c>
      <c r="C25" s="127">
        <v>0.505</v>
      </c>
      <c r="D25" s="127">
        <f>C25-0.005</f>
        <v>0.5</v>
      </c>
      <c r="E25" s="31">
        <v>1</v>
      </c>
      <c r="F25" s="58">
        <f t="shared" si="1"/>
        <v>0.505</v>
      </c>
      <c r="G25" s="130">
        <f t="shared" si="2"/>
        <v>529.10052910052912</v>
      </c>
      <c r="H25" s="147" t="s">
        <v>3</v>
      </c>
      <c r="I25" s="170">
        <v>130</v>
      </c>
      <c r="J25" s="147">
        <v>230</v>
      </c>
      <c r="K25" s="147">
        <v>18</v>
      </c>
      <c r="L25" s="92">
        <f t="shared" ref="L25:L26" si="14">M25/N25</f>
        <v>529.10052910052912</v>
      </c>
      <c r="M25" s="58">
        <v>500</v>
      </c>
      <c r="N25" s="118">
        <f>((C24*1000)-28)/200</f>
        <v>0.94499999999999995</v>
      </c>
      <c r="O25" s="195">
        <f t="shared" si="5"/>
        <v>529.10052910052912</v>
      </c>
      <c r="P25" s="26"/>
      <c r="Q25" s="28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2" customHeight="1" x14ac:dyDescent="0.2">
      <c r="A26" s="54" t="s">
        <v>61</v>
      </c>
      <c r="B26" s="57" t="s">
        <v>62</v>
      </c>
      <c r="C26" s="127">
        <v>1.0069999999999999</v>
      </c>
      <c r="D26" s="127">
        <f>C26-0.01</f>
        <v>0.99699999999999989</v>
      </c>
      <c r="E26" s="25">
        <v>1</v>
      </c>
      <c r="F26" s="58">
        <f t="shared" si="1"/>
        <v>1.0069999999999999</v>
      </c>
      <c r="G26" s="130">
        <f t="shared" si="2"/>
        <v>1058.2010582010582</v>
      </c>
      <c r="H26" s="147" t="s">
        <v>5</v>
      </c>
      <c r="I26" s="170">
        <v>130</v>
      </c>
      <c r="J26" s="147">
        <v>280</v>
      </c>
      <c r="K26" s="147">
        <v>29</v>
      </c>
      <c r="L26" s="92">
        <f t="shared" si="14"/>
        <v>1058.2010582010582</v>
      </c>
      <c r="M26" s="58">
        <v>1000</v>
      </c>
      <c r="N26" s="118">
        <f>((C24*1000)-28)/200</f>
        <v>0.94499999999999995</v>
      </c>
      <c r="O26" s="195">
        <f t="shared" si="5"/>
        <v>1058.2010582010582</v>
      </c>
      <c r="P26" s="26"/>
      <c r="Q26" s="28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2" customHeight="1" x14ac:dyDescent="0.2">
      <c r="A27" s="59" t="s">
        <v>63</v>
      </c>
      <c r="B27" s="60" t="s">
        <v>64</v>
      </c>
      <c r="C27" s="103">
        <v>9.9000000000000005E-2</v>
      </c>
      <c r="D27" s="103">
        <f>C27-0.028</f>
        <v>7.1000000000000008E-2</v>
      </c>
      <c r="E27" s="25">
        <v>1</v>
      </c>
      <c r="F27" s="61">
        <f t="shared" si="1"/>
        <v>9.9000000000000005E-2</v>
      </c>
      <c r="G27" s="130">
        <f t="shared" si="2"/>
        <v>365</v>
      </c>
      <c r="H27" s="148" t="s">
        <v>22</v>
      </c>
      <c r="I27" s="171">
        <v>50</v>
      </c>
      <c r="J27" s="148">
        <v>50</v>
      </c>
      <c r="K27" s="148">
        <v>146</v>
      </c>
      <c r="L27" s="92">
        <f>(K27*J27*I27)/1000</f>
        <v>365</v>
      </c>
      <c r="M27" s="61">
        <v>200</v>
      </c>
      <c r="N27" s="119">
        <f>D27*1000/M27</f>
        <v>0.35500000000000009</v>
      </c>
      <c r="O27" s="195">
        <f t="shared" si="5"/>
        <v>365</v>
      </c>
      <c r="P27" s="27"/>
      <c r="Q27" s="28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2" customHeight="1" x14ac:dyDescent="0.2">
      <c r="A28" s="59" t="s">
        <v>65</v>
      </c>
      <c r="B28" s="62" t="s">
        <v>66</v>
      </c>
      <c r="C28" s="104">
        <v>0.505</v>
      </c>
      <c r="D28" s="104">
        <f>C28-0.005</f>
        <v>0.5</v>
      </c>
      <c r="E28" s="31">
        <v>1</v>
      </c>
      <c r="F28" s="63">
        <f t="shared" si="1"/>
        <v>0.505</v>
      </c>
      <c r="G28" s="130">
        <f t="shared" si="2"/>
        <v>1408.4507042253522</v>
      </c>
      <c r="H28" s="149" t="s">
        <v>3</v>
      </c>
      <c r="I28" s="172">
        <v>130</v>
      </c>
      <c r="J28" s="149">
        <v>280</v>
      </c>
      <c r="K28" s="149">
        <v>40</v>
      </c>
      <c r="L28" s="92">
        <f>M28/N28</f>
        <v>1408.4507042253522</v>
      </c>
      <c r="M28" s="63">
        <v>500</v>
      </c>
      <c r="N28" s="120">
        <f>(($C$27*1000)-28)/200</f>
        <v>0.35499999999999998</v>
      </c>
      <c r="O28" s="195">
        <f t="shared" si="5"/>
        <v>1408.4507042253522</v>
      </c>
      <c r="P28" s="26"/>
      <c r="Q28" s="28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2" customHeight="1" x14ac:dyDescent="0.2">
      <c r="A29" s="64" t="s">
        <v>67</v>
      </c>
      <c r="B29" s="65" t="s">
        <v>68</v>
      </c>
      <c r="C29" s="105">
        <v>0.22</v>
      </c>
      <c r="D29" s="105">
        <f>C29-0.028</f>
        <v>0.192</v>
      </c>
      <c r="E29" s="31">
        <v>1</v>
      </c>
      <c r="F29" s="66">
        <f t="shared" si="1"/>
        <v>0.22</v>
      </c>
      <c r="G29" s="130">
        <f t="shared" si="2"/>
        <v>365</v>
      </c>
      <c r="H29" s="150" t="s">
        <v>22</v>
      </c>
      <c r="I29" s="173">
        <v>50</v>
      </c>
      <c r="J29" s="150">
        <v>50</v>
      </c>
      <c r="K29" s="150">
        <v>146</v>
      </c>
      <c r="L29" s="92">
        <f>(K29*J29*I29)/1000</f>
        <v>365</v>
      </c>
      <c r="M29" s="66">
        <v>200</v>
      </c>
      <c r="N29" s="121">
        <f t="shared" ref="N29:N31" si="15">(($C$7*1000)-28)/200</f>
        <v>0.81499999999999995</v>
      </c>
      <c r="O29" s="195">
        <f t="shared" si="5"/>
        <v>365</v>
      </c>
      <c r="P29" s="27"/>
      <c r="Q29" s="28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2" customHeight="1" x14ac:dyDescent="0.2">
      <c r="A30" s="64" t="s">
        <v>69</v>
      </c>
      <c r="B30" s="67" t="s">
        <v>70</v>
      </c>
      <c r="C30" s="106">
        <v>0.505</v>
      </c>
      <c r="D30" s="106">
        <f>C30-0.005</f>
        <v>0.5</v>
      </c>
      <c r="E30" s="25">
        <v>1</v>
      </c>
      <c r="F30" s="68">
        <f t="shared" si="1"/>
        <v>0.505</v>
      </c>
      <c r="G30" s="130">
        <f t="shared" si="2"/>
        <v>613.49693251533745</v>
      </c>
      <c r="H30" s="151" t="s">
        <v>3</v>
      </c>
      <c r="I30" s="174">
        <v>130</v>
      </c>
      <c r="J30" s="151">
        <v>230</v>
      </c>
      <c r="K30" s="151">
        <v>18</v>
      </c>
      <c r="L30" s="92">
        <f t="shared" ref="L30:L31" si="16">M30/N30</f>
        <v>613.49693251533745</v>
      </c>
      <c r="M30" s="68">
        <v>500</v>
      </c>
      <c r="N30" s="122">
        <f t="shared" si="15"/>
        <v>0.81499999999999995</v>
      </c>
      <c r="O30" s="195">
        <f t="shared" si="5"/>
        <v>613.49693251533745</v>
      </c>
      <c r="P30" s="26"/>
      <c r="Q30" s="28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2" customHeight="1" x14ac:dyDescent="0.2">
      <c r="A31" s="64" t="s">
        <v>71</v>
      </c>
      <c r="B31" s="67" t="s">
        <v>72</v>
      </c>
      <c r="C31" s="106">
        <v>1.0069999999999999</v>
      </c>
      <c r="D31" s="106">
        <f>C31-0.01</f>
        <v>0.99699999999999989</v>
      </c>
      <c r="E31" s="25">
        <v>1</v>
      </c>
      <c r="F31" s="68">
        <f t="shared" si="1"/>
        <v>1.0069999999999999</v>
      </c>
      <c r="G31" s="130">
        <f t="shared" si="2"/>
        <v>1226.9938650306749</v>
      </c>
      <c r="H31" s="151" t="s">
        <v>5</v>
      </c>
      <c r="I31" s="174">
        <v>130</v>
      </c>
      <c r="J31" s="151">
        <v>280</v>
      </c>
      <c r="K31" s="151">
        <v>29</v>
      </c>
      <c r="L31" s="92">
        <f t="shared" si="16"/>
        <v>1226.9938650306749</v>
      </c>
      <c r="M31" s="68">
        <v>1000</v>
      </c>
      <c r="N31" s="122">
        <f t="shared" si="15"/>
        <v>0.81499999999999995</v>
      </c>
      <c r="O31" s="195">
        <f t="shared" si="5"/>
        <v>1226.9938650306749</v>
      </c>
      <c r="P31" s="26"/>
      <c r="Q31" s="28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2" customHeight="1" x14ac:dyDescent="0.2">
      <c r="A32" s="69" t="s">
        <v>73</v>
      </c>
      <c r="B32" s="70" t="s">
        <v>74</v>
      </c>
      <c r="C32" s="107">
        <v>0.106</v>
      </c>
      <c r="D32" s="107">
        <f t="shared" ref="D32:D37" si="17">C32-0.028</f>
        <v>7.8E-2</v>
      </c>
      <c r="E32" s="31">
        <v>1</v>
      </c>
      <c r="F32" s="71">
        <f t="shared" si="1"/>
        <v>0.106</v>
      </c>
      <c r="G32" s="130">
        <f t="shared" si="2"/>
        <v>230.85</v>
      </c>
      <c r="H32" s="152" t="s">
        <v>75</v>
      </c>
      <c r="I32" s="175">
        <v>45</v>
      </c>
      <c r="J32" s="152">
        <v>45</v>
      </c>
      <c r="K32" s="152">
        <v>114</v>
      </c>
      <c r="L32" s="92">
        <f t="shared" ref="L32:L39" si="18">(K32*J32*I32)/1000</f>
        <v>230.85</v>
      </c>
      <c r="M32" s="71">
        <v>100</v>
      </c>
      <c r="N32" s="123">
        <v>0.39</v>
      </c>
      <c r="O32" s="195">
        <f t="shared" si="5"/>
        <v>230.85</v>
      </c>
      <c r="P32" s="27"/>
      <c r="Q32" s="28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2" customHeight="1" x14ac:dyDescent="0.2">
      <c r="A33" s="69" t="s">
        <v>76</v>
      </c>
      <c r="B33" s="72" t="s">
        <v>77</v>
      </c>
      <c r="C33" s="108">
        <v>0.112</v>
      </c>
      <c r="D33" s="108">
        <f t="shared" si="17"/>
        <v>8.4000000000000005E-2</v>
      </c>
      <c r="E33" s="31">
        <v>1</v>
      </c>
      <c r="F33" s="73">
        <f t="shared" si="1"/>
        <v>0.112</v>
      </c>
      <c r="G33" s="130">
        <f t="shared" si="2"/>
        <v>230.85</v>
      </c>
      <c r="H33" s="153" t="s">
        <v>75</v>
      </c>
      <c r="I33" s="176">
        <v>45</v>
      </c>
      <c r="J33" s="153">
        <v>45</v>
      </c>
      <c r="K33" s="153">
        <v>114</v>
      </c>
      <c r="L33" s="92">
        <f t="shared" si="18"/>
        <v>230.85</v>
      </c>
      <c r="M33" s="73">
        <v>100</v>
      </c>
      <c r="N33" s="124">
        <v>0.42</v>
      </c>
      <c r="O33" s="195">
        <f t="shared" si="5"/>
        <v>230.85</v>
      </c>
      <c r="P33" s="26"/>
      <c r="Q33" s="28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2" customHeight="1" x14ac:dyDescent="0.2">
      <c r="A34" s="69" t="s">
        <v>78</v>
      </c>
      <c r="B34" s="72" t="s">
        <v>79</v>
      </c>
      <c r="C34" s="108">
        <v>0.11799999999999999</v>
      </c>
      <c r="D34" s="108">
        <f t="shared" si="17"/>
        <v>0.09</v>
      </c>
      <c r="E34" s="25">
        <v>1</v>
      </c>
      <c r="F34" s="73">
        <f t="shared" si="1"/>
        <v>0.11799999999999999</v>
      </c>
      <c r="G34" s="130">
        <f t="shared" si="2"/>
        <v>230.85</v>
      </c>
      <c r="H34" s="153" t="s">
        <v>75</v>
      </c>
      <c r="I34" s="176">
        <v>45</v>
      </c>
      <c r="J34" s="153">
        <v>45</v>
      </c>
      <c r="K34" s="153">
        <v>114</v>
      </c>
      <c r="L34" s="92">
        <f t="shared" si="18"/>
        <v>230.85</v>
      </c>
      <c r="M34" s="73">
        <v>100</v>
      </c>
      <c r="N34" s="124">
        <v>0.81499999999999995</v>
      </c>
      <c r="O34" s="195">
        <f t="shared" si="5"/>
        <v>230.85</v>
      </c>
      <c r="P34" s="26"/>
      <c r="Q34" s="28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2" customHeight="1" x14ac:dyDescent="0.2">
      <c r="A35" s="69" t="s">
        <v>80</v>
      </c>
      <c r="B35" s="70" t="s">
        <v>81</v>
      </c>
      <c r="C35" s="107">
        <v>0.11</v>
      </c>
      <c r="D35" s="107">
        <f t="shared" si="17"/>
        <v>8.2000000000000003E-2</v>
      </c>
      <c r="E35" s="25">
        <v>1</v>
      </c>
      <c r="F35" s="71">
        <f t="shared" si="1"/>
        <v>0.11</v>
      </c>
      <c r="G35" s="130">
        <f t="shared" si="2"/>
        <v>230.85</v>
      </c>
      <c r="H35" s="152" t="s">
        <v>75</v>
      </c>
      <c r="I35" s="175">
        <v>45</v>
      </c>
      <c r="J35" s="152">
        <v>45</v>
      </c>
      <c r="K35" s="152">
        <v>114</v>
      </c>
      <c r="L35" s="92">
        <f t="shared" si="18"/>
        <v>230.85</v>
      </c>
      <c r="M35" s="71">
        <v>100</v>
      </c>
      <c r="N35" s="123">
        <v>0.81499999999999995</v>
      </c>
      <c r="O35" s="195">
        <f t="shared" si="5"/>
        <v>230.85</v>
      </c>
      <c r="P35" s="27"/>
      <c r="Q35" s="28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2" customHeight="1" x14ac:dyDescent="0.2">
      <c r="A36" s="69" t="s">
        <v>82</v>
      </c>
      <c r="B36" s="72" t="s">
        <v>83</v>
      </c>
      <c r="C36" s="108">
        <v>0.114</v>
      </c>
      <c r="D36" s="108">
        <f t="shared" si="17"/>
        <v>8.6000000000000007E-2</v>
      </c>
      <c r="E36" s="31">
        <v>1</v>
      </c>
      <c r="F36" s="73">
        <f t="shared" si="1"/>
        <v>0.114</v>
      </c>
      <c r="G36" s="130">
        <f t="shared" si="2"/>
        <v>230.85</v>
      </c>
      <c r="H36" s="153" t="s">
        <v>75</v>
      </c>
      <c r="I36" s="176">
        <v>45</v>
      </c>
      <c r="J36" s="153">
        <v>45</v>
      </c>
      <c r="K36" s="153">
        <v>114</v>
      </c>
      <c r="L36" s="92">
        <f t="shared" si="18"/>
        <v>230.85</v>
      </c>
      <c r="M36" s="73">
        <v>100</v>
      </c>
      <c r="N36" s="124">
        <v>0.81499999999999995</v>
      </c>
      <c r="O36" s="195">
        <f t="shared" si="5"/>
        <v>230.85</v>
      </c>
      <c r="P36" s="26"/>
      <c r="Q36" s="28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2" customHeight="1" x14ac:dyDescent="0.2">
      <c r="A37" s="69" t="s">
        <v>84</v>
      </c>
      <c r="B37" s="72" t="s">
        <v>85</v>
      </c>
      <c r="C37" s="108">
        <v>0.12</v>
      </c>
      <c r="D37" s="108">
        <f t="shared" si="17"/>
        <v>9.1999999999999998E-2</v>
      </c>
      <c r="E37" s="31">
        <v>1</v>
      </c>
      <c r="F37" s="73">
        <f t="shared" si="1"/>
        <v>0.12</v>
      </c>
      <c r="G37" s="130">
        <f t="shared" si="2"/>
        <v>230.85</v>
      </c>
      <c r="H37" s="153" t="s">
        <v>75</v>
      </c>
      <c r="I37" s="176">
        <v>45</v>
      </c>
      <c r="J37" s="153">
        <v>45</v>
      </c>
      <c r="K37" s="153">
        <v>114</v>
      </c>
      <c r="L37" s="92">
        <f t="shared" si="18"/>
        <v>230.85</v>
      </c>
      <c r="M37" s="73">
        <v>100</v>
      </c>
      <c r="N37" s="124">
        <f t="shared" ref="N37:N38" si="19">(($C$7*1000)-28)/200</f>
        <v>0.81499999999999995</v>
      </c>
      <c r="O37" s="195">
        <f t="shared" si="5"/>
        <v>230.85</v>
      </c>
      <c r="P37" s="26"/>
      <c r="Q37" s="28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2" customHeight="1" x14ac:dyDescent="0.2">
      <c r="A38" s="74" t="s">
        <v>86</v>
      </c>
      <c r="B38" s="75" t="s">
        <v>87</v>
      </c>
      <c r="C38" s="128">
        <v>0.41</v>
      </c>
      <c r="D38" s="128">
        <f t="shared" ref="D38:D39" si="20">C38-0.04</f>
        <v>0.37</v>
      </c>
      <c r="E38" s="25">
        <v>1</v>
      </c>
      <c r="F38" s="76">
        <f t="shared" si="1"/>
        <v>0.41</v>
      </c>
      <c r="G38" s="130">
        <f t="shared" si="2"/>
        <v>711.14</v>
      </c>
      <c r="H38" s="154" t="s">
        <v>88</v>
      </c>
      <c r="I38" s="189">
        <v>62</v>
      </c>
      <c r="J38" s="182">
        <v>62</v>
      </c>
      <c r="K38" s="182">
        <v>185</v>
      </c>
      <c r="L38" s="92">
        <f t="shared" si="18"/>
        <v>711.14</v>
      </c>
      <c r="M38" s="77">
        <v>375</v>
      </c>
      <c r="N38" s="125">
        <f t="shared" si="19"/>
        <v>0.81499999999999995</v>
      </c>
      <c r="O38" s="195">
        <f t="shared" si="5"/>
        <v>711.14</v>
      </c>
      <c r="P38" s="21"/>
      <c r="Q38" s="28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2" customHeight="1" x14ac:dyDescent="0.2">
      <c r="A39" s="69" t="s">
        <v>89</v>
      </c>
      <c r="B39" s="78" t="s">
        <v>90</v>
      </c>
      <c r="C39" s="129">
        <v>7.0000000000000007E-2</v>
      </c>
      <c r="D39" s="129">
        <f t="shared" si="20"/>
        <v>3.0000000000000006E-2</v>
      </c>
      <c r="E39" s="25">
        <v>1</v>
      </c>
      <c r="F39" s="79">
        <f t="shared" si="1"/>
        <v>7.0000000000000007E-2</v>
      </c>
      <c r="G39" s="130">
        <f>E39*L39</f>
        <v>0</v>
      </c>
      <c r="H39" s="155"/>
      <c r="I39" s="190"/>
      <c r="J39" s="183"/>
      <c r="K39" s="183"/>
      <c r="L39" s="92">
        <f t="shared" si="18"/>
        <v>0</v>
      </c>
      <c r="M39" s="78"/>
      <c r="N39" s="80"/>
      <c r="O39" s="195">
        <f t="shared" si="5"/>
        <v>0</v>
      </c>
      <c r="P39" s="7"/>
    </row>
    <row r="40" spans="1:26" ht="15.75" customHeight="1" x14ac:dyDescent="0.2">
      <c r="B40" s="7"/>
      <c r="F40" s="81"/>
      <c r="H40" s="156"/>
      <c r="I40" s="191"/>
      <c r="J40" s="184"/>
      <c r="K40" s="184"/>
      <c r="L40" s="7"/>
      <c r="M40" s="7"/>
      <c r="N40" s="2"/>
      <c r="O40" s="7"/>
      <c r="P40" s="7"/>
    </row>
    <row r="41" spans="1:26" ht="15.75" customHeight="1" x14ac:dyDescent="0.2">
      <c r="B41" s="7"/>
      <c r="F41" s="81"/>
      <c r="H41" s="156"/>
      <c r="I41" s="191"/>
      <c r="J41" s="184"/>
      <c r="K41" s="184"/>
      <c r="L41" s="7"/>
      <c r="M41" s="7"/>
      <c r="N41" s="2"/>
      <c r="O41" s="7"/>
      <c r="P41" s="7"/>
    </row>
    <row r="42" spans="1:26" ht="15.75" customHeight="1" x14ac:dyDescent="0.2">
      <c r="B42" s="7"/>
      <c r="F42" s="81"/>
      <c r="H42" s="156"/>
      <c r="N42" s="2"/>
    </row>
    <row r="43" spans="1:26" ht="15.75" customHeight="1" x14ac:dyDescent="0.2">
      <c r="B43" s="7"/>
      <c r="F43" s="81"/>
      <c r="H43" s="156"/>
      <c r="N43" s="2"/>
    </row>
    <row r="44" spans="1:26" ht="15.75" customHeight="1" x14ac:dyDescent="0.2">
      <c r="B44" s="7"/>
      <c r="F44" s="81"/>
      <c r="H44" s="156"/>
      <c r="N44" s="2"/>
    </row>
    <row r="45" spans="1:26" ht="15.75" customHeight="1" x14ac:dyDescent="0.2">
      <c r="B45" s="7"/>
      <c r="F45" s="81"/>
      <c r="H45" s="156"/>
      <c r="N45" s="2"/>
    </row>
    <row r="46" spans="1:26" ht="15.75" customHeight="1" x14ac:dyDescent="0.2">
      <c r="B46" s="7"/>
      <c r="F46" s="81"/>
      <c r="H46" s="156"/>
      <c r="N46" s="2"/>
    </row>
    <row r="47" spans="1:26" ht="15.75" customHeight="1" x14ac:dyDescent="0.2">
      <c r="B47" s="7"/>
      <c r="F47" s="81"/>
      <c r="H47" s="156"/>
      <c r="N47" s="2"/>
    </row>
    <row r="48" spans="1:26" ht="15.75" customHeight="1" x14ac:dyDescent="0.2">
      <c r="B48" s="7"/>
      <c r="F48" s="81"/>
      <c r="H48" s="156"/>
      <c r="N48" s="2"/>
    </row>
    <row r="49" spans="2:14" ht="15.75" customHeight="1" x14ac:dyDescent="0.2">
      <c r="B49" s="7"/>
      <c r="F49" s="81"/>
      <c r="H49" s="156"/>
      <c r="N49" s="2"/>
    </row>
    <row r="50" spans="2:14" ht="15.75" customHeight="1" x14ac:dyDescent="0.2">
      <c r="B50" s="7"/>
      <c r="F50" s="81"/>
      <c r="H50" s="156"/>
      <c r="N50" s="2"/>
    </row>
    <row r="51" spans="2:14" ht="15.75" customHeight="1" x14ac:dyDescent="0.2">
      <c r="B51" s="7"/>
      <c r="F51" s="81"/>
      <c r="H51" s="156"/>
      <c r="N51" s="2"/>
    </row>
    <row r="52" spans="2:14" ht="15.75" customHeight="1" x14ac:dyDescent="0.2">
      <c r="B52" s="7"/>
      <c r="F52" s="81"/>
      <c r="H52" s="156"/>
      <c r="N52" s="2"/>
    </row>
    <row r="53" spans="2:14" ht="15.75" customHeight="1" x14ac:dyDescent="0.2">
      <c r="B53" s="7"/>
      <c r="F53" s="81"/>
      <c r="H53" s="156"/>
      <c r="N53" s="2"/>
    </row>
    <row r="54" spans="2:14" ht="15.75" customHeight="1" x14ac:dyDescent="0.2">
      <c r="B54" s="7"/>
      <c r="F54" s="81"/>
      <c r="H54" s="156"/>
      <c r="N54" s="2"/>
    </row>
    <row r="55" spans="2:14" ht="15.75" customHeight="1" x14ac:dyDescent="0.2">
      <c r="B55" s="7"/>
      <c r="F55" s="81"/>
      <c r="H55" s="156"/>
      <c r="N55" s="2"/>
    </row>
    <row r="56" spans="2:14" ht="15.75" customHeight="1" x14ac:dyDescent="0.2">
      <c r="B56" s="7"/>
      <c r="F56" s="81"/>
      <c r="H56" s="156"/>
      <c r="N56" s="2"/>
    </row>
    <row r="57" spans="2:14" ht="15.75" customHeight="1" x14ac:dyDescent="0.2">
      <c r="B57" s="7"/>
      <c r="F57" s="81"/>
      <c r="H57" s="156"/>
      <c r="N57" s="2"/>
    </row>
    <row r="58" spans="2:14" ht="15.75" customHeight="1" x14ac:dyDescent="0.2">
      <c r="B58" s="7"/>
      <c r="F58" s="81"/>
      <c r="H58" s="156"/>
      <c r="N58" s="2"/>
    </row>
    <row r="59" spans="2:14" ht="15.75" customHeight="1" x14ac:dyDescent="0.2">
      <c r="B59" s="7"/>
      <c r="F59" s="81"/>
      <c r="H59" s="156"/>
      <c r="N59" s="2"/>
    </row>
    <row r="60" spans="2:14" ht="15.75" customHeight="1" x14ac:dyDescent="0.2">
      <c r="B60" s="7"/>
      <c r="F60" s="81"/>
      <c r="H60" s="156"/>
      <c r="N60" s="2"/>
    </row>
    <row r="61" spans="2:14" ht="15.75" customHeight="1" x14ac:dyDescent="0.2">
      <c r="B61" s="7"/>
      <c r="F61" s="81"/>
      <c r="H61" s="156"/>
      <c r="N61" s="2"/>
    </row>
    <row r="62" spans="2:14" ht="15.75" customHeight="1" x14ac:dyDescent="0.2">
      <c r="B62" s="7"/>
      <c r="F62" s="81"/>
      <c r="H62" s="156"/>
      <c r="N62" s="2"/>
    </row>
    <row r="63" spans="2:14" ht="15.75" customHeight="1" x14ac:dyDescent="0.2">
      <c r="B63" s="7"/>
      <c r="F63" s="81"/>
      <c r="H63" s="156"/>
      <c r="N63" s="2"/>
    </row>
    <row r="64" spans="2:14" ht="15.75" customHeight="1" x14ac:dyDescent="0.2">
      <c r="B64" s="7"/>
      <c r="F64" s="81"/>
      <c r="H64" s="156"/>
      <c r="N64" s="2"/>
    </row>
    <row r="65" spans="2:14" ht="15.75" customHeight="1" x14ac:dyDescent="0.2">
      <c r="B65" s="7"/>
      <c r="F65" s="81"/>
      <c r="H65" s="156"/>
      <c r="N65" s="2"/>
    </row>
    <row r="66" spans="2:14" ht="15.75" customHeight="1" x14ac:dyDescent="0.2">
      <c r="B66" s="7"/>
      <c r="F66" s="81"/>
      <c r="H66" s="156"/>
      <c r="N66" s="2"/>
    </row>
    <row r="67" spans="2:14" ht="15.75" customHeight="1" x14ac:dyDescent="0.2">
      <c r="B67" s="7"/>
      <c r="F67" s="81"/>
      <c r="H67" s="156"/>
      <c r="N67" s="2"/>
    </row>
    <row r="68" spans="2:14" ht="15.75" customHeight="1" x14ac:dyDescent="0.2">
      <c r="B68" s="7"/>
      <c r="F68" s="81"/>
      <c r="H68" s="156"/>
      <c r="N68" s="2"/>
    </row>
    <row r="69" spans="2:14" ht="15.75" customHeight="1" x14ac:dyDescent="0.2">
      <c r="B69" s="7"/>
      <c r="F69" s="81"/>
      <c r="H69" s="156"/>
      <c r="N69" s="2"/>
    </row>
    <row r="70" spans="2:14" ht="15.75" customHeight="1" x14ac:dyDescent="0.2">
      <c r="B70" s="7"/>
      <c r="F70" s="81"/>
      <c r="H70" s="156"/>
      <c r="N70" s="2"/>
    </row>
    <row r="71" spans="2:14" ht="15.75" customHeight="1" x14ac:dyDescent="0.2">
      <c r="B71" s="7"/>
      <c r="F71" s="81"/>
      <c r="H71" s="156"/>
      <c r="N71" s="2"/>
    </row>
    <row r="72" spans="2:14" ht="15.75" customHeight="1" x14ac:dyDescent="0.2">
      <c r="B72" s="7"/>
      <c r="F72" s="81"/>
      <c r="H72" s="156"/>
      <c r="N72" s="2"/>
    </row>
    <row r="73" spans="2:14" ht="15.75" customHeight="1" x14ac:dyDescent="0.2">
      <c r="B73" s="7"/>
      <c r="F73" s="81"/>
      <c r="H73" s="156"/>
      <c r="N73" s="2"/>
    </row>
    <row r="74" spans="2:14" ht="15.75" customHeight="1" x14ac:dyDescent="0.2">
      <c r="B74" s="7"/>
      <c r="F74" s="81"/>
      <c r="H74" s="156"/>
      <c r="N74" s="2"/>
    </row>
    <row r="75" spans="2:14" ht="15.75" customHeight="1" x14ac:dyDescent="0.2">
      <c r="B75" s="7"/>
      <c r="F75" s="81"/>
      <c r="H75" s="156"/>
      <c r="N75" s="2"/>
    </row>
    <row r="76" spans="2:14" ht="15.75" customHeight="1" x14ac:dyDescent="0.2">
      <c r="B76" s="7"/>
      <c r="F76" s="81"/>
      <c r="H76" s="156"/>
      <c r="N76" s="2"/>
    </row>
    <row r="77" spans="2:14" ht="15.75" customHeight="1" x14ac:dyDescent="0.2">
      <c r="B77" s="7"/>
      <c r="F77" s="81"/>
      <c r="H77" s="156"/>
      <c r="N77" s="2"/>
    </row>
    <row r="78" spans="2:14" ht="15.75" customHeight="1" x14ac:dyDescent="0.2">
      <c r="B78" s="7"/>
      <c r="F78" s="81"/>
      <c r="H78" s="156"/>
      <c r="N78" s="2"/>
    </row>
    <row r="79" spans="2:14" ht="15.75" customHeight="1" x14ac:dyDescent="0.2">
      <c r="B79" s="7"/>
      <c r="F79" s="81"/>
      <c r="H79" s="156"/>
      <c r="N79" s="2"/>
    </row>
    <row r="80" spans="2:14" ht="15.75" customHeight="1" x14ac:dyDescent="0.2">
      <c r="B80" s="7"/>
      <c r="F80" s="81"/>
      <c r="H80" s="156"/>
      <c r="N80" s="2"/>
    </row>
    <row r="81" spans="2:14" ht="15.75" customHeight="1" x14ac:dyDescent="0.2">
      <c r="B81" s="7"/>
      <c r="F81" s="81"/>
      <c r="H81" s="156"/>
      <c r="N81" s="2"/>
    </row>
    <row r="82" spans="2:14" ht="15.75" customHeight="1" x14ac:dyDescent="0.2">
      <c r="B82" s="7"/>
      <c r="F82" s="81"/>
      <c r="H82" s="156"/>
      <c r="N82" s="2"/>
    </row>
    <row r="83" spans="2:14" ht="15.75" customHeight="1" x14ac:dyDescent="0.2">
      <c r="B83" s="7"/>
      <c r="F83" s="81"/>
      <c r="H83" s="156"/>
      <c r="N83" s="2"/>
    </row>
    <row r="84" spans="2:14" ht="15.75" customHeight="1" x14ac:dyDescent="0.2">
      <c r="B84" s="7"/>
      <c r="F84" s="81"/>
      <c r="H84" s="156"/>
      <c r="N84" s="2"/>
    </row>
    <row r="85" spans="2:14" ht="15.75" customHeight="1" x14ac:dyDescent="0.2">
      <c r="B85" s="7"/>
      <c r="F85" s="81"/>
      <c r="H85" s="156"/>
      <c r="N85" s="2"/>
    </row>
    <row r="86" spans="2:14" ht="15.75" customHeight="1" x14ac:dyDescent="0.2">
      <c r="B86" s="7"/>
      <c r="F86" s="81"/>
      <c r="H86" s="156"/>
      <c r="N86" s="2"/>
    </row>
    <row r="87" spans="2:14" ht="15.75" customHeight="1" x14ac:dyDescent="0.2">
      <c r="B87" s="7"/>
      <c r="F87" s="81"/>
      <c r="H87" s="156"/>
      <c r="N87" s="2"/>
    </row>
    <row r="88" spans="2:14" ht="15.75" customHeight="1" x14ac:dyDescent="0.2">
      <c r="B88" s="7"/>
      <c r="F88" s="81"/>
      <c r="H88" s="156"/>
      <c r="N88" s="2"/>
    </row>
    <row r="89" spans="2:14" ht="15.75" customHeight="1" x14ac:dyDescent="0.2">
      <c r="B89" s="7"/>
      <c r="F89" s="81"/>
      <c r="H89" s="156"/>
      <c r="N89" s="2"/>
    </row>
    <row r="90" spans="2:14" ht="15.75" customHeight="1" x14ac:dyDescent="0.2">
      <c r="B90" s="7"/>
      <c r="F90" s="81"/>
      <c r="H90" s="156"/>
      <c r="N90" s="2"/>
    </row>
    <row r="91" spans="2:14" ht="15.75" customHeight="1" x14ac:dyDescent="0.2">
      <c r="B91" s="7"/>
      <c r="F91" s="81"/>
      <c r="H91" s="156"/>
      <c r="N91" s="2"/>
    </row>
    <row r="92" spans="2:14" ht="15.75" customHeight="1" x14ac:dyDescent="0.2">
      <c r="B92" s="7"/>
      <c r="F92" s="81"/>
      <c r="H92" s="156"/>
      <c r="N92" s="2"/>
    </row>
    <row r="93" spans="2:14" ht="15.75" customHeight="1" x14ac:dyDescent="0.2">
      <c r="B93" s="7"/>
      <c r="F93" s="81"/>
      <c r="H93" s="156"/>
      <c r="N93" s="2"/>
    </row>
    <row r="94" spans="2:14" ht="15.75" customHeight="1" x14ac:dyDescent="0.2">
      <c r="B94" s="7"/>
      <c r="F94" s="81"/>
      <c r="H94" s="156"/>
      <c r="N94" s="2"/>
    </row>
    <row r="95" spans="2:14" ht="15.75" customHeight="1" x14ac:dyDescent="0.2">
      <c r="B95" s="7"/>
      <c r="F95" s="81"/>
      <c r="H95" s="156"/>
      <c r="N95" s="2"/>
    </row>
    <row r="96" spans="2:14" ht="15.75" customHeight="1" x14ac:dyDescent="0.2">
      <c r="B96" s="7"/>
      <c r="F96" s="81"/>
      <c r="H96" s="156"/>
      <c r="N96" s="2"/>
    </row>
    <row r="97" spans="2:14" ht="15.75" customHeight="1" x14ac:dyDescent="0.2">
      <c r="B97" s="7"/>
      <c r="F97" s="81"/>
      <c r="H97" s="156"/>
      <c r="N97" s="2"/>
    </row>
    <row r="98" spans="2:14" ht="15.75" customHeight="1" x14ac:dyDescent="0.2">
      <c r="B98" s="7"/>
      <c r="F98" s="81"/>
      <c r="H98" s="156"/>
      <c r="N98" s="2"/>
    </row>
    <row r="99" spans="2:14" ht="15.75" customHeight="1" x14ac:dyDescent="0.2">
      <c r="B99" s="7"/>
      <c r="F99" s="81"/>
      <c r="H99" s="156"/>
      <c r="N99" s="2"/>
    </row>
    <row r="100" spans="2:14" ht="15.75" customHeight="1" x14ac:dyDescent="0.2">
      <c r="B100" s="7"/>
      <c r="F100" s="81"/>
      <c r="H100" s="156"/>
      <c r="N100" s="2"/>
    </row>
    <row r="101" spans="2:14" ht="15.75" customHeight="1" x14ac:dyDescent="0.2">
      <c r="B101" s="7"/>
      <c r="F101" s="81"/>
      <c r="H101" s="156"/>
      <c r="N101" s="2"/>
    </row>
    <row r="102" spans="2:14" ht="15.75" customHeight="1" x14ac:dyDescent="0.2">
      <c r="B102" s="7"/>
      <c r="F102" s="81"/>
      <c r="H102" s="156"/>
      <c r="N102" s="2"/>
    </row>
    <row r="103" spans="2:14" ht="15.75" customHeight="1" x14ac:dyDescent="0.2">
      <c r="B103" s="7"/>
      <c r="F103" s="81"/>
      <c r="H103" s="156"/>
      <c r="N103" s="2"/>
    </row>
    <row r="104" spans="2:14" ht="15.75" customHeight="1" x14ac:dyDescent="0.2">
      <c r="B104" s="7"/>
      <c r="F104" s="81"/>
      <c r="H104" s="156"/>
      <c r="N104" s="2"/>
    </row>
    <row r="105" spans="2:14" ht="15.75" customHeight="1" x14ac:dyDescent="0.2">
      <c r="B105" s="7"/>
      <c r="F105" s="81"/>
      <c r="H105" s="156"/>
      <c r="N105" s="2"/>
    </row>
    <row r="106" spans="2:14" ht="15.75" customHeight="1" x14ac:dyDescent="0.2">
      <c r="B106" s="7"/>
      <c r="F106" s="81"/>
      <c r="H106" s="156"/>
      <c r="N106" s="2"/>
    </row>
    <row r="107" spans="2:14" ht="15.75" customHeight="1" x14ac:dyDescent="0.2">
      <c r="B107" s="7"/>
      <c r="F107" s="81"/>
      <c r="H107" s="156"/>
      <c r="N107" s="2"/>
    </row>
    <row r="108" spans="2:14" ht="15.75" customHeight="1" x14ac:dyDescent="0.2">
      <c r="B108" s="7"/>
      <c r="F108" s="81"/>
      <c r="H108" s="156"/>
      <c r="N108" s="2"/>
    </row>
    <row r="109" spans="2:14" ht="15.75" customHeight="1" x14ac:dyDescent="0.2">
      <c r="B109" s="7"/>
      <c r="F109" s="81"/>
      <c r="H109" s="156"/>
      <c r="N109" s="2"/>
    </row>
    <row r="110" spans="2:14" ht="15.75" customHeight="1" x14ac:dyDescent="0.2">
      <c r="B110" s="7"/>
      <c r="F110" s="81"/>
      <c r="H110" s="156"/>
      <c r="N110" s="2"/>
    </row>
    <row r="111" spans="2:14" ht="15.75" customHeight="1" x14ac:dyDescent="0.2">
      <c r="B111" s="7"/>
      <c r="F111" s="81"/>
      <c r="H111" s="156"/>
      <c r="N111" s="2"/>
    </row>
    <row r="112" spans="2:14" ht="15.75" customHeight="1" x14ac:dyDescent="0.2">
      <c r="B112" s="7"/>
      <c r="F112" s="81"/>
      <c r="H112" s="156"/>
      <c r="N112" s="2"/>
    </row>
    <row r="113" spans="2:14" ht="15.75" customHeight="1" x14ac:dyDescent="0.2">
      <c r="B113" s="7"/>
      <c r="F113" s="81"/>
      <c r="H113" s="156"/>
      <c r="N113" s="2"/>
    </row>
    <row r="114" spans="2:14" ht="15.75" customHeight="1" x14ac:dyDescent="0.2">
      <c r="B114" s="7"/>
      <c r="F114" s="81"/>
      <c r="H114" s="156"/>
      <c r="N114" s="2"/>
    </row>
    <row r="115" spans="2:14" ht="15.75" customHeight="1" x14ac:dyDescent="0.2">
      <c r="B115" s="7"/>
      <c r="F115" s="81"/>
      <c r="H115" s="156"/>
      <c r="N115" s="2"/>
    </row>
    <row r="116" spans="2:14" ht="15.75" customHeight="1" x14ac:dyDescent="0.2">
      <c r="B116" s="7"/>
      <c r="F116" s="81"/>
      <c r="H116" s="156"/>
      <c r="N116" s="2"/>
    </row>
    <row r="117" spans="2:14" ht="15.75" customHeight="1" x14ac:dyDescent="0.2">
      <c r="B117" s="7"/>
      <c r="F117" s="81"/>
      <c r="H117" s="156"/>
      <c r="N117" s="2"/>
    </row>
    <row r="118" spans="2:14" ht="15.75" customHeight="1" x14ac:dyDescent="0.2">
      <c r="B118" s="7"/>
      <c r="F118" s="81"/>
      <c r="H118" s="156"/>
      <c r="N118" s="2"/>
    </row>
    <row r="119" spans="2:14" ht="15.75" customHeight="1" x14ac:dyDescent="0.2">
      <c r="B119" s="7"/>
      <c r="F119" s="81"/>
      <c r="H119" s="156"/>
      <c r="N119" s="2"/>
    </row>
    <row r="120" spans="2:14" ht="15.75" customHeight="1" x14ac:dyDescent="0.2">
      <c r="B120" s="7"/>
      <c r="F120" s="81"/>
      <c r="H120" s="156"/>
      <c r="N120" s="2"/>
    </row>
    <row r="121" spans="2:14" ht="15.75" customHeight="1" x14ac:dyDescent="0.2">
      <c r="B121" s="7"/>
      <c r="F121" s="81"/>
      <c r="H121" s="156"/>
      <c r="N121" s="2"/>
    </row>
    <row r="122" spans="2:14" ht="15.75" customHeight="1" x14ac:dyDescent="0.2">
      <c r="B122" s="7"/>
      <c r="F122" s="81"/>
      <c r="H122" s="156"/>
      <c r="N122" s="2"/>
    </row>
    <row r="123" spans="2:14" ht="15.75" customHeight="1" x14ac:dyDescent="0.2">
      <c r="B123" s="7"/>
      <c r="F123" s="81"/>
      <c r="H123" s="156"/>
      <c r="N123" s="2"/>
    </row>
    <row r="124" spans="2:14" ht="15.75" customHeight="1" x14ac:dyDescent="0.2">
      <c r="B124" s="7"/>
      <c r="F124" s="81"/>
      <c r="H124" s="156"/>
      <c r="N124" s="2"/>
    </row>
    <row r="125" spans="2:14" ht="15.75" customHeight="1" x14ac:dyDescent="0.2">
      <c r="B125" s="7"/>
      <c r="F125" s="81"/>
      <c r="H125" s="156"/>
      <c r="N125" s="2"/>
    </row>
    <row r="126" spans="2:14" ht="15.75" customHeight="1" x14ac:dyDescent="0.2">
      <c r="B126" s="7"/>
      <c r="F126" s="81"/>
      <c r="H126" s="156"/>
      <c r="N126" s="2"/>
    </row>
    <row r="127" spans="2:14" ht="15.75" customHeight="1" x14ac:dyDescent="0.2">
      <c r="B127" s="7"/>
      <c r="F127" s="81"/>
      <c r="H127" s="156"/>
      <c r="N127" s="2"/>
    </row>
    <row r="128" spans="2:14" ht="15.75" customHeight="1" x14ac:dyDescent="0.2">
      <c r="B128" s="7"/>
      <c r="F128" s="81"/>
      <c r="H128" s="156"/>
      <c r="N128" s="2"/>
    </row>
    <row r="129" spans="2:14" ht="15.75" customHeight="1" x14ac:dyDescent="0.2">
      <c r="B129" s="7"/>
      <c r="F129" s="81"/>
      <c r="H129" s="156"/>
      <c r="N129" s="2"/>
    </row>
    <row r="130" spans="2:14" ht="15.75" customHeight="1" x14ac:dyDescent="0.2">
      <c r="B130" s="7"/>
      <c r="F130" s="81"/>
      <c r="H130" s="156"/>
      <c r="N130" s="2"/>
    </row>
    <row r="131" spans="2:14" ht="15.75" customHeight="1" x14ac:dyDescent="0.2">
      <c r="B131" s="7"/>
      <c r="F131" s="81"/>
      <c r="H131" s="156"/>
      <c r="N131" s="2"/>
    </row>
    <row r="132" spans="2:14" ht="15.75" customHeight="1" x14ac:dyDescent="0.2">
      <c r="B132" s="7"/>
      <c r="F132" s="81"/>
      <c r="H132" s="156"/>
      <c r="N132" s="2"/>
    </row>
    <row r="133" spans="2:14" ht="15.75" customHeight="1" x14ac:dyDescent="0.2">
      <c r="B133" s="7"/>
      <c r="F133" s="81"/>
      <c r="H133" s="156"/>
      <c r="N133" s="2"/>
    </row>
    <row r="134" spans="2:14" ht="15.75" customHeight="1" x14ac:dyDescent="0.2">
      <c r="B134" s="7"/>
      <c r="F134" s="81"/>
      <c r="H134" s="156"/>
      <c r="N134" s="2"/>
    </row>
    <row r="135" spans="2:14" ht="15.75" customHeight="1" x14ac:dyDescent="0.2">
      <c r="B135" s="7"/>
      <c r="F135" s="81"/>
      <c r="H135" s="156"/>
      <c r="N135" s="2"/>
    </row>
    <row r="136" spans="2:14" ht="15.75" customHeight="1" x14ac:dyDescent="0.2">
      <c r="B136" s="7"/>
      <c r="F136" s="81"/>
      <c r="H136" s="156"/>
      <c r="N136" s="2"/>
    </row>
    <row r="137" spans="2:14" ht="15.75" customHeight="1" x14ac:dyDescent="0.2">
      <c r="B137" s="7"/>
      <c r="F137" s="81"/>
      <c r="H137" s="156"/>
      <c r="N137" s="2"/>
    </row>
    <row r="138" spans="2:14" ht="15.75" customHeight="1" x14ac:dyDescent="0.2">
      <c r="B138" s="7"/>
      <c r="F138" s="81"/>
      <c r="H138" s="156"/>
      <c r="N138" s="2"/>
    </row>
    <row r="139" spans="2:14" ht="15.75" customHeight="1" x14ac:dyDescent="0.2">
      <c r="B139" s="7"/>
      <c r="F139" s="81"/>
      <c r="H139" s="156"/>
      <c r="N139" s="2"/>
    </row>
    <row r="140" spans="2:14" ht="15.75" customHeight="1" x14ac:dyDescent="0.2">
      <c r="B140" s="7"/>
      <c r="F140" s="81"/>
      <c r="H140" s="156"/>
      <c r="N140" s="2"/>
    </row>
    <row r="141" spans="2:14" ht="15.75" customHeight="1" x14ac:dyDescent="0.2">
      <c r="B141" s="7"/>
      <c r="F141" s="81"/>
      <c r="H141" s="156"/>
      <c r="N141" s="2"/>
    </row>
    <row r="142" spans="2:14" ht="15.75" customHeight="1" x14ac:dyDescent="0.2">
      <c r="B142" s="7"/>
      <c r="F142" s="81"/>
      <c r="H142" s="156"/>
      <c r="N142" s="2"/>
    </row>
    <row r="143" spans="2:14" ht="15.75" customHeight="1" x14ac:dyDescent="0.2">
      <c r="B143" s="7"/>
      <c r="F143" s="81"/>
      <c r="H143" s="156"/>
      <c r="N143" s="2"/>
    </row>
    <row r="144" spans="2:14" ht="15.75" customHeight="1" x14ac:dyDescent="0.2">
      <c r="B144" s="7"/>
      <c r="F144" s="81"/>
      <c r="H144" s="156"/>
      <c r="N144" s="2"/>
    </row>
    <row r="145" spans="2:14" ht="15.75" customHeight="1" x14ac:dyDescent="0.2">
      <c r="B145" s="7"/>
      <c r="F145" s="81"/>
      <c r="H145" s="156"/>
      <c r="N145" s="2"/>
    </row>
    <row r="146" spans="2:14" ht="15.75" customHeight="1" x14ac:dyDescent="0.2">
      <c r="B146" s="7"/>
      <c r="F146" s="81"/>
      <c r="H146" s="156"/>
      <c r="N146" s="2"/>
    </row>
    <row r="147" spans="2:14" ht="15.75" customHeight="1" x14ac:dyDescent="0.2">
      <c r="B147" s="7"/>
      <c r="F147" s="81"/>
      <c r="H147" s="156"/>
      <c r="N147" s="2"/>
    </row>
    <row r="148" spans="2:14" ht="15.75" customHeight="1" x14ac:dyDescent="0.2">
      <c r="B148" s="7"/>
      <c r="F148" s="81"/>
      <c r="H148" s="156"/>
      <c r="N148" s="2"/>
    </row>
    <row r="149" spans="2:14" ht="15.75" customHeight="1" x14ac:dyDescent="0.2">
      <c r="B149" s="7"/>
      <c r="F149" s="81"/>
      <c r="H149" s="156"/>
      <c r="N149" s="2"/>
    </row>
    <row r="150" spans="2:14" ht="15.75" customHeight="1" x14ac:dyDescent="0.2">
      <c r="B150" s="7"/>
      <c r="F150" s="81"/>
      <c r="H150" s="156"/>
      <c r="N150" s="2"/>
    </row>
    <row r="151" spans="2:14" ht="15.75" customHeight="1" x14ac:dyDescent="0.2">
      <c r="B151" s="7"/>
      <c r="F151" s="81"/>
      <c r="H151" s="156"/>
      <c r="N151" s="2"/>
    </row>
    <row r="152" spans="2:14" ht="15.75" customHeight="1" x14ac:dyDescent="0.2">
      <c r="B152" s="7"/>
      <c r="F152" s="81"/>
      <c r="H152" s="156"/>
      <c r="N152" s="2"/>
    </row>
    <row r="153" spans="2:14" ht="15.75" customHeight="1" x14ac:dyDescent="0.2">
      <c r="B153" s="7"/>
      <c r="F153" s="81"/>
      <c r="H153" s="156"/>
      <c r="N153" s="2"/>
    </row>
    <row r="154" spans="2:14" ht="15.75" customHeight="1" x14ac:dyDescent="0.2">
      <c r="B154" s="7"/>
      <c r="F154" s="81"/>
      <c r="H154" s="156"/>
      <c r="N154" s="2"/>
    </row>
    <row r="155" spans="2:14" ht="15.75" customHeight="1" x14ac:dyDescent="0.2">
      <c r="B155" s="7"/>
      <c r="F155" s="81"/>
      <c r="H155" s="156"/>
      <c r="N155" s="2"/>
    </row>
    <row r="156" spans="2:14" ht="15.75" customHeight="1" x14ac:dyDescent="0.2">
      <c r="B156" s="7"/>
      <c r="F156" s="81"/>
      <c r="H156" s="156"/>
      <c r="N156" s="2"/>
    </row>
    <row r="157" spans="2:14" ht="15.75" customHeight="1" x14ac:dyDescent="0.2">
      <c r="B157" s="7"/>
      <c r="F157" s="81"/>
      <c r="H157" s="156"/>
      <c r="N157" s="2"/>
    </row>
    <row r="158" spans="2:14" ht="15.75" customHeight="1" x14ac:dyDescent="0.2">
      <c r="B158" s="7"/>
      <c r="F158" s="81"/>
      <c r="H158" s="156"/>
      <c r="N158" s="2"/>
    </row>
    <row r="159" spans="2:14" ht="15.75" customHeight="1" x14ac:dyDescent="0.2">
      <c r="B159" s="7"/>
      <c r="F159" s="81"/>
      <c r="H159" s="156"/>
      <c r="N159" s="2"/>
    </row>
    <row r="160" spans="2:14" ht="15.75" customHeight="1" x14ac:dyDescent="0.2">
      <c r="B160" s="7"/>
      <c r="F160" s="81"/>
      <c r="H160" s="156"/>
      <c r="N160" s="2"/>
    </row>
    <row r="161" spans="2:14" ht="15.75" customHeight="1" x14ac:dyDescent="0.2">
      <c r="B161" s="7"/>
      <c r="F161" s="81"/>
      <c r="H161" s="156"/>
      <c r="N161" s="2"/>
    </row>
    <row r="162" spans="2:14" ht="15.75" customHeight="1" x14ac:dyDescent="0.2">
      <c r="B162" s="7"/>
      <c r="F162" s="81"/>
      <c r="H162" s="156"/>
      <c r="N162" s="2"/>
    </row>
    <row r="163" spans="2:14" ht="15.75" customHeight="1" x14ac:dyDescent="0.2">
      <c r="B163" s="7"/>
      <c r="F163" s="81"/>
      <c r="H163" s="156"/>
      <c r="N163" s="2"/>
    </row>
    <row r="164" spans="2:14" ht="15.75" customHeight="1" x14ac:dyDescent="0.2">
      <c r="B164" s="7"/>
      <c r="F164" s="81"/>
      <c r="H164" s="156"/>
      <c r="N164" s="2"/>
    </row>
    <row r="165" spans="2:14" ht="15.75" customHeight="1" x14ac:dyDescent="0.2">
      <c r="B165" s="7"/>
      <c r="F165" s="81"/>
      <c r="H165" s="156"/>
      <c r="N165" s="2"/>
    </row>
    <row r="166" spans="2:14" ht="15.75" customHeight="1" x14ac:dyDescent="0.2">
      <c r="B166" s="7"/>
      <c r="F166" s="81"/>
      <c r="H166" s="156"/>
      <c r="N166" s="2"/>
    </row>
    <row r="167" spans="2:14" ht="15.75" customHeight="1" x14ac:dyDescent="0.2">
      <c r="B167" s="7"/>
      <c r="F167" s="81"/>
      <c r="H167" s="156"/>
      <c r="N167" s="2"/>
    </row>
    <row r="168" spans="2:14" ht="15.75" customHeight="1" x14ac:dyDescent="0.2">
      <c r="B168" s="7"/>
      <c r="F168" s="81"/>
      <c r="H168" s="156"/>
      <c r="N168" s="2"/>
    </row>
    <row r="169" spans="2:14" ht="15.75" customHeight="1" x14ac:dyDescent="0.2">
      <c r="B169" s="7"/>
      <c r="F169" s="81"/>
      <c r="H169" s="156"/>
      <c r="N169" s="2"/>
    </row>
    <row r="170" spans="2:14" ht="15.75" customHeight="1" x14ac:dyDescent="0.2">
      <c r="B170" s="7"/>
      <c r="F170" s="81"/>
      <c r="H170" s="156"/>
      <c r="N170" s="2"/>
    </row>
    <row r="171" spans="2:14" ht="15.75" customHeight="1" x14ac:dyDescent="0.2">
      <c r="B171" s="7"/>
      <c r="F171" s="81"/>
      <c r="H171" s="156"/>
      <c r="N171" s="2"/>
    </row>
    <row r="172" spans="2:14" ht="15.75" customHeight="1" x14ac:dyDescent="0.2">
      <c r="B172" s="7"/>
      <c r="F172" s="81"/>
      <c r="H172" s="156"/>
      <c r="N172" s="2"/>
    </row>
    <row r="173" spans="2:14" ht="15.75" customHeight="1" x14ac:dyDescent="0.2">
      <c r="B173" s="7"/>
      <c r="F173" s="81"/>
      <c r="H173" s="156"/>
      <c r="N173" s="2"/>
    </row>
    <row r="174" spans="2:14" ht="15.75" customHeight="1" x14ac:dyDescent="0.2">
      <c r="B174" s="7"/>
      <c r="F174" s="81"/>
      <c r="H174" s="156"/>
      <c r="N174" s="2"/>
    </row>
    <row r="175" spans="2:14" ht="15.75" customHeight="1" x14ac:dyDescent="0.2">
      <c r="B175" s="7"/>
      <c r="F175" s="81"/>
      <c r="H175" s="156"/>
      <c r="N175" s="2"/>
    </row>
    <row r="176" spans="2:14" ht="15.75" customHeight="1" x14ac:dyDescent="0.2">
      <c r="B176" s="7"/>
      <c r="F176" s="81"/>
      <c r="H176" s="156"/>
      <c r="N176" s="2"/>
    </row>
    <row r="177" spans="2:14" ht="15.75" customHeight="1" x14ac:dyDescent="0.2">
      <c r="B177" s="7"/>
      <c r="F177" s="81"/>
      <c r="H177" s="156"/>
      <c r="N177" s="2"/>
    </row>
    <row r="178" spans="2:14" ht="15.75" customHeight="1" x14ac:dyDescent="0.2">
      <c r="B178" s="7"/>
      <c r="F178" s="81"/>
      <c r="H178" s="156"/>
      <c r="N178" s="2"/>
    </row>
    <row r="179" spans="2:14" ht="15.75" customHeight="1" x14ac:dyDescent="0.2">
      <c r="B179" s="7"/>
      <c r="F179" s="81"/>
      <c r="H179" s="156"/>
      <c r="N179" s="2"/>
    </row>
    <row r="180" spans="2:14" ht="15.75" customHeight="1" x14ac:dyDescent="0.2">
      <c r="B180" s="7"/>
      <c r="F180" s="81"/>
      <c r="H180" s="156"/>
      <c r="N180" s="2"/>
    </row>
    <row r="181" spans="2:14" ht="15.75" customHeight="1" x14ac:dyDescent="0.2">
      <c r="B181" s="7"/>
      <c r="F181" s="81"/>
      <c r="H181" s="156"/>
      <c r="N181" s="2"/>
    </row>
    <row r="182" spans="2:14" ht="15.75" customHeight="1" x14ac:dyDescent="0.2">
      <c r="B182" s="7"/>
      <c r="F182" s="81"/>
      <c r="H182" s="156"/>
      <c r="N182" s="2"/>
    </row>
    <row r="183" spans="2:14" ht="15.75" customHeight="1" x14ac:dyDescent="0.2">
      <c r="B183" s="7"/>
      <c r="F183" s="81"/>
      <c r="H183" s="156"/>
      <c r="N183" s="2"/>
    </row>
    <row r="184" spans="2:14" ht="15.75" customHeight="1" x14ac:dyDescent="0.2">
      <c r="B184" s="7"/>
      <c r="F184" s="81"/>
      <c r="H184" s="156"/>
      <c r="N184" s="2"/>
    </row>
    <row r="185" spans="2:14" ht="15.75" customHeight="1" x14ac:dyDescent="0.2">
      <c r="B185" s="7"/>
      <c r="F185" s="81"/>
      <c r="H185" s="156"/>
      <c r="N185" s="2"/>
    </row>
    <row r="186" spans="2:14" ht="15.75" customHeight="1" x14ac:dyDescent="0.2">
      <c r="B186" s="7"/>
      <c r="F186" s="81"/>
      <c r="H186" s="156"/>
      <c r="N186" s="2"/>
    </row>
    <row r="187" spans="2:14" ht="15.75" customHeight="1" x14ac:dyDescent="0.2">
      <c r="B187" s="7"/>
      <c r="F187" s="81"/>
      <c r="H187" s="156"/>
      <c r="N187" s="2"/>
    </row>
    <row r="188" spans="2:14" ht="15.75" customHeight="1" x14ac:dyDescent="0.2">
      <c r="B188" s="7"/>
      <c r="F188" s="81"/>
      <c r="H188" s="156"/>
      <c r="N188" s="2"/>
    </row>
    <row r="189" spans="2:14" ht="15.75" customHeight="1" x14ac:dyDescent="0.2">
      <c r="B189" s="7"/>
      <c r="F189" s="81"/>
      <c r="H189" s="156"/>
      <c r="N189" s="2"/>
    </row>
    <row r="190" spans="2:14" ht="15.75" customHeight="1" x14ac:dyDescent="0.2">
      <c r="B190" s="7"/>
      <c r="F190" s="81"/>
      <c r="H190" s="156"/>
      <c r="N190" s="2"/>
    </row>
    <row r="191" spans="2:14" ht="15.75" customHeight="1" x14ac:dyDescent="0.2">
      <c r="B191" s="7"/>
      <c r="F191" s="81"/>
      <c r="H191" s="156"/>
      <c r="N191" s="2"/>
    </row>
    <row r="192" spans="2:14" ht="15.75" customHeight="1" x14ac:dyDescent="0.2">
      <c r="B192" s="7"/>
      <c r="F192" s="81"/>
      <c r="H192" s="156"/>
      <c r="N192" s="2"/>
    </row>
    <row r="193" spans="2:14" ht="15.75" customHeight="1" x14ac:dyDescent="0.2">
      <c r="B193" s="7"/>
      <c r="F193" s="81"/>
      <c r="H193" s="156"/>
      <c r="N193" s="2"/>
    </row>
    <row r="194" spans="2:14" ht="15.75" customHeight="1" x14ac:dyDescent="0.2">
      <c r="B194" s="7"/>
      <c r="F194" s="81"/>
      <c r="H194" s="156"/>
      <c r="N194" s="2"/>
    </row>
    <row r="195" spans="2:14" ht="15.75" customHeight="1" x14ac:dyDescent="0.2">
      <c r="B195" s="7"/>
      <c r="F195" s="81"/>
      <c r="H195" s="156"/>
      <c r="N195" s="2"/>
    </row>
    <row r="196" spans="2:14" ht="15.75" customHeight="1" x14ac:dyDescent="0.2">
      <c r="B196" s="7"/>
      <c r="F196" s="81"/>
      <c r="H196" s="156"/>
      <c r="N196" s="2"/>
    </row>
    <row r="197" spans="2:14" ht="15.75" customHeight="1" x14ac:dyDescent="0.2">
      <c r="B197" s="7"/>
      <c r="F197" s="81"/>
      <c r="H197" s="156"/>
      <c r="N197" s="2"/>
    </row>
    <row r="198" spans="2:14" ht="15.75" customHeight="1" x14ac:dyDescent="0.2">
      <c r="B198" s="7"/>
      <c r="F198" s="81"/>
      <c r="H198" s="156"/>
      <c r="N198" s="2"/>
    </row>
    <row r="199" spans="2:14" ht="15.75" customHeight="1" x14ac:dyDescent="0.2">
      <c r="B199" s="7"/>
      <c r="F199" s="81"/>
      <c r="H199" s="156"/>
      <c r="N199" s="2"/>
    </row>
    <row r="200" spans="2:14" ht="15.75" customHeight="1" x14ac:dyDescent="0.2">
      <c r="B200" s="7"/>
      <c r="F200" s="81"/>
      <c r="H200" s="156"/>
      <c r="N200" s="2"/>
    </row>
    <row r="201" spans="2:14" ht="15.75" customHeight="1" x14ac:dyDescent="0.2">
      <c r="B201" s="7"/>
      <c r="F201" s="81"/>
      <c r="H201" s="156"/>
      <c r="N201" s="2"/>
    </row>
    <row r="202" spans="2:14" ht="15.75" customHeight="1" x14ac:dyDescent="0.2">
      <c r="B202" s="7"/>
      <c r="F202" s="81"/>
      <c r="H202" s="156"/>
      <c r="N202" s="2"/>
    </row>
    <row r="203" spans="2:14" ht="15.75" customHeight="1" x14ac:dyDescent="0.2">
      <c r="B203" s="7"/>
      <c r="F203" s="81"/>
      <c r="H203" s="156"/>
      <c r="N203" s="2"/>
    </row>
    <row r="204" spans="2:14" ht="15.75" customHeight="1" x14ac:dyDescent="0.2">
      <c r="B204" s="7"/>
      <c r="F204" s="81"/>
      <c r="H204" s="156"/>
      <c r="N204" s="2"/>
    </row>
    <row r="205" spans="2:14" ht="15.75" customHeight="1" x14ac:dyDescent="0.2">
      <c r="B205" s="7"/>
      <c r="F205" s="81"/>
      <c r="H205" s="156"/>
      <c r="N205" s="2"/>
    </row>
    <row r="206" spans="2:14" ht="15.75" customHeight="1" x14ac:dyDescent="0.2">
      <c r="B206" s="7"/>
      <c r="F206" s="81"/>
      <c r="H206" s="156"/>
      <c r="N206" s="2"/>
    </row>
    <row r="207" spans="2:14" ht="15.75" customHeight="1" x14ac:dyDescent="0.2">
      <c r="B207" s="7"/>
      <c r="F207" s="81"/>
      <c r="H207" s="156"/>
      <c r="N207" s="2"/>
    </row>
    <row r="208" spans="2:14" ht="15.75" customHeight="1" x14ac:dyDescent="0.2">
      <c r="B208" s="7"/>
      <c r="F208" s="81"/>
      <c r="H208" s="156"/>
      <c r="N208" s="2"/>
    </row>
    <row r="209" spans="2:14" ht="15.75" customHeight="1" x14ac:dyDescent="0.2">
      <c r="B209" s="7"/>
      <c r="F209" s="81"/>
      <c r="H209" s="156"/>
      <c r="N209" s="2"/>
    </row>
    <row r="210" spans="2:14" ht="15.75" customHeight="1" x14ac:dyDescent="0.2">
      <c r="B210" s="7"/>
      <c r="F210" s="81"/>
      <c r="H210" s="156"/>
      <c r="N210" s="2"/>
    </row>
    <row r="211" spans="2:14" ht="15.75" customHeight="1" x14ac:dyDescent="0.2">
      <c r="B211" s="7"/>
      <c r="F211" s="81"/>
      <c r="H211" s="156"/>
      <c r="N211" s="2"/>
    </row>
    <row r="212" spans="2:14" ht="15.75" customHeight="1" x14ac:dyDescent="0.2">
      <c r="B212" s="7"/>
      <c r="F212" s="81"/>
      <c r="H212" s="156"/>
      <c r="N212" s="2"/>
    </row>
    <row r="213" spans="2:14" ht="15.75" customHeight="1" x14ac:dyDescent="0.2">
      <c r="B213" s="7"/>
      <c r="F213" s="81"/>
      <c r="H213" s="156"/>
      <c r="N213" s="2"/>
    </row>
    <row r="214" spans="2:14" ht="15.75" customHeight="1" x14ac:dyDescent="0.2">
      <c r="B214" s="7"/>
      <c r="F214" s="81"/>
      <c r="H214" s="156"/>
      <c r="N214" s="2"/>
    </row>
    <row r="215" spans="2:14" ht="15.75" customHeight="1" x14ac:dyDescent="0.2">
      <c r="B215" s="7"/>
      <c r="F215" s="81"/>
      <c r="H215" s="156"/>
      <c r="N215" s="2"/>
    </row>
    <row r="216" spans="2:14" ht="15.75" customHeight="1" x14ac:dyDescent="0.2">
      <c r="B216" s="7"/>
      <c r="F216" s="81"/>
      <c r="H216" s="156"/>
      <c r="N216" s="2"/>
    </row>
    <row r="217" spans="2:14" ht="15.75" customHeight="1" x14ac:dyDescent="0.2">
      <c r="B217" s="7"/>
      <c r="F217" s="81"/>
      <c r="H217" s="156"/>
      <c r="N217" s="2"/>
    </row>
    <row r="218" spans="2:14" ht="15.75" customHeight="1" x14ac:dyDescent="0.2">
      <c r="B218" s="7"/>
      <c r="F218" s="81"/>
      <c r="H218" s="156"/>
      <c r="N218" s="2"/>
    </row>
    <row r="219" spans="2:14" ht="15.75" customHeight="1" x14ac:dyDescent="0.2">
      <c r="B219" s="7"/>
      <c r="F219" s="81"/>
      <c r="H219" s="156"/>
      <c r="N219" s="2"/>
    </row>
    <row r="220" spans="2:14" ht="15.75" customHeight="1" x14ac:dyDescent="0.2">
      <c r="B220" s="7"/>
      <c r="F220" s="81"/>
      <c r="H220" s="156"/>
      <c r="N220" s="2"/>
    </row>
    <row r="221" spans="2:14" ht="15.75" customHeight="1" x14ac:dyDescent="0.2">
      <c r="B221" s="7"/>
      <c r="F221" s="81"/>
      <c r="H221" s="156"/>
      <c r="N221" s="2"/>
    </row>
    <row r="222" spans="2:14" ht="15.75" customHeight="1" x14ac:dyDescent="0.2">
      <c r="B222" s="7"/>
      <c r="F222" s="81"/>
      <c r="H222" s="156"/>
      <c r="N222" s="2"/>
    </row>
    <row r="223" spans="2:14" ht="15.75" customHeight="1" x14ac:dyDescent="0.2">
      <c r="B223" s="7"/>
      <c r="F223" s="81"/>
      <c r="H223" s="156"/>
      <c r="N223" s="2"/>
    </row>
    <row r="224" spans="2:14" ht="15.75" customHeight="1" x14ac:dyDescent="0.2">
      <c r="B224" s="7"/>
      <c r="F224" s="81"/>
      <c r="H224" s="156"/>
      <c r="N224" s="2"/>
    </row>
    <row r="225" spans="2:14" ht="15.75" customHeight="1" x14ac:dyDescent="0.2">
      <c r="B225" s="7"/>
      <c r="F225" s="81"/>
      <c r="H225" s="156"/>
      <c r="N225" s="2"/>
    </row>
    <row r="226" spans="2:14" ht="15.75" customHeight="1" x14ac:dyDescent="0.2">
      <c r="B226" s="7"/>
      <c r="F226" s="81"/>
      <c r="H226" s="156"/>
      <c r="N226" s="2"/>
    </row>
    <row r="227" spans="2:14" ht="15.75" customHeight="1" x14ac:dyDescent="0.2">
      <c r="B227" s="7"/>
      <c r="F227" s="81"/>
      <c r="H227" s="156"/>
      <c r="N227" s="2"/>
    </row>
    <row r="228" spans="2:14" ht="15.75" customHeight="1" x14ac:dyDescent="0.2">
      <c r="B228" s="7"/>
      <c r="F228" s="81"/>
      <c r="H228" s="156"/>
      <c r="N228" s="2"/>
    </row>
    <row r="229" spans="2:14" ht="15.75" customHeight="1" x14ac:dyDescent="0.2">
      <c r="B229" s="7"/>
      <c r="F229" s="81"/>
      <c r="H229" s="156"/>
      <c r="N229" s="2"/>
    </row>
    <row r="230" spans="2:14" ht="15.75" customHeight="1" x14ac:dyDescent="0.2">
      <c r="B230" s="7"/>
      <c r="F230" s="81"/>
      <c r="H230" s="156"/>
      <c r="N230" s="2"/>
    </row>
    <row r="231" spans="2:14" ht="15.75" customHeight="1" x14ac:dyDescent="0.2">
      <c r="B231" s="7"/>
      <c r="F231" s="81"/>
      <c r="H231" s="156"/>
      <c r="N231" s="2"/>
    </row>
    <row r="232" spans="2:14" ht="15.75" customHeight="1" x14ac:dyDescent="0.2">
      <c r="B232" s="7"/>
      <c r="F232" s="81"/>
      <c r="H232" s="156"/>
      <c r="N232" s="2"/>
    </row>
    <row r="233" spans="2:14" ht="15.75" customHeight="1" x14ac:dyDescent="0.2">
      <c r="B233" s="7"/>
      <c r="F233" s="81"/>
      <c r="H233" s="156"/>
      <c r="N233" s="2"/>
    </row>
    <row r="234" spans="2:14" ht="15.75" customHeight="1" x14ac:dyDescent="0.2">
      <c r="B234" s="7"/>
      <c r="F234" s="81"/>
      <c r="H234" s="156"/>
      <c r="N234" s="2"/>
    </row>
    <row r="235" spans="2:14" ht="15.75" customHeight="1" x14ac:dyDescent="0.2">
      <c r="B235" s="7"/>
      <c r="F235" s="81"/>
      <c r="H235" s="156"/>
      <c r="N235" s="2"/>
    </row>
    <row r="236" spans="2:14" ht="15.75" customHeight="1" x14ac:dyDescent="0.2">
      <c r="B236" s="7"/>
      <c r="F236" s="81"/>
      <c r="H236" s="156"/>
      <c r="N236" s="2"/>
    </row>
    <row r="237" spans="2:14" ht="15.75" customHeight="1" x14ac:dyDescent="0.2">
      <c r="B237" s="7"/>
      <c r="F237" s="81"/>
      <c r="H237" s="156"/>
      <c r="N237" s="2"/>
    </row>
    <row r="238" spans="2:14" ht="15.75" customHeight="1" x14ac:dyDescent="0.2">
      <c r="B238" s="7"/>
      <c r="F238" s="81"/>
      <c r="H238" s="156"/>
      <c r="N238" s="2"/>
    </row>
    <row r="239" spans="2:14" ht="15.75" customHeight="1" x14ac:dyDescent="0.2">
      <c r="B239" s="7"/>
      <c r="F239" s="81"/>
      <c r="H239" s="156"/>
      <c r="N239" s="2"/>
    </row>
    <row r="240" spans="2:14" ht="15.75" customHeight="1" x14ac:dyDescent="0.2">
      <c r="B240" s="7"/>
      <c r="F240" s="81"/>
      <c r="H240" s="156"/>
      <c r="N240" s="2"/>
    </row>
    <row r="241" spans="2:14" ht="15.75" customHeight="1" x14ac:dyDescent="0.2">
      <c r="B241" s="7"/>
      <c r="F241" s="81"/>
      <c r="H241" s="156"/>
      <c r="N241" s="2"/>
    </row>
    <row r="242" spans="2:14" ht="15.75" customHeight="1" x14ac:dyDescent="0.2">
      <c r="B242" s="7"/>
      <c r="F242" s="81"/>
      <c r="H242" s="156"/>
      <c r="N242" s="2"/>
    </row>
    <row r="243" spans="2:14" ht="15.75" customHeight="1" x14ac:dyDescent="0.2">
      <c r="B243" s="7"/>
      <c r="F243" s="81"/>
      <c r="H243" s="156"/>
      <c r="N243" s="2"/>
    </row>
    <row r="244" spans="2:14" ht="15.75" customHeight="1" x14ac:dyDescent="0.2">
      <c r="B244" s="7"/>
      <c r="F244" s="81"/>
      <c r="H244" s="156"/>
      <c r="N244" s="2"/>
    </row>
    <row r="245" spans="2:14" ht="15.75" customHeight="1" x14ac:dyDescent="0.2">
      <c r="B245" s="7"/>
      <c r="F245" s="81"/>
      <c r="H245" s="156"/>
      <c r="N245" s="2"/>
    </row>
    <row r="246" spans="2:14" ht="15.75" customHeight="1" x14ac:dyDescent="0.2">
      <c r="B246" s="7"/>
      <c r="F246" s="81"/>
      <c r="H246" s="156"/>
      <c r="N246" s="2"/>
    </row>
    <row r="247" spans="2:14" ht="15.75" customHeight="1" x14ac:dyDescent="0.2">
      <c r="B247" s="7"/>
      <c r="F247" s="81"/>
      <c r="H247" s="156"/>
      <c r="N247" s="2"/>
    </row>
    <row r="248" spans="2:14" ht="15.75" customHeight="1" x14ac:dyDescent="0.2">
      <c r="B248" s="7"/>
      <c r="F248" s="81"/>
      <c r="H248" s="156"/>
      <c r="N248" s="2"/>
    </row>
    <row r="249" spans="2:14" ht="15.75" customHeight="1" x14ac:dyDescent="0.2">
      <c r="B249" s="7"/>
      <c r="F249" s="81"/>
      <c r="H249" s="156"/>
      <c r="N249" s="2"/>
    </row>
    <row r="250" spans="2:14" ht="15.75" customHeight="1" x14ac:dyDescent="0.2">
      <c r="B250" s="7"/>
      <c r="F250" s="81"/>
      <c r="H250" s="156"/>
      <c r="N250" s="2"/>
    </row>
    <row r="251" spans="2:14" ht="15.75" customHeight="1" x14ac:dyDescent="0.2">
      <c r="B251" s="7"/>
      <c r="F251" s="81"/>
      <c r="H251" s="156"/>
      <c r="N251" s="2"/>
    </row>
    <row r="252" spans="2:14" ht="15.75" customHeight="1" x14ac:dyDescent="0.2">
      <c r="B252" s="7"/>
      <c r="F252" s="81"/>
      <c r="H252" s="156"/>
      <c r="N252" s="2"/>
    </row>
    <row r="253" spans="2:14" ht="15.75" customHeight="1" x14ac:dyDescent="0.2">
      <c r="B253" s="7"/>
      <c r="F253" s="81"/>
      <c r="H253" s="156"/>
      <c r="N253" s="2"/>
    </row>
    <row r="254" spans="2:14" ht="15.75" customHeight="1" x14ac:dyDescent="0.2">
      <c r="B254" s="7"/>
      <c r="F254" s="81"/>
      <c r="H254" s="156"/>
      <c r="N254" s="2"/>
    </row>
    <row r="255" spans="2:14" ht="15.75" customHeight="1" x14ac:dyDescent="0.2">
      <c r="B255" s="7"/>
      <c r="F255" s="81"/>
      <c r="H255" s="156"/>
      <c r="N255" s="2"/>
    </row>
    <row r="256" spans="2:14" ht="15.75" customHeight="1" x14ac:dyDescent="0.2">
      <c r="B256" s="7"/>
      <c r="F256" s="81"/>
      <c r="H256" s="156"/>
      <c r="N256" s="2"/>
    </row>
    <row r="257" spans="2:14" ht="15.75" customHeight="1" x14ac:dyDescent="0.2">
      <c r="B257" s="7"/>
      <c r="F257" s="81"/>
      <c r="H257" s="156"/>
      <c r="N257" s="2"/>
    </row>
    <row r="258" spans="2:14" ht="15.75" customHeight="1" x14ac:dyDescent="0.2">
      <c r="B258" s="7"/>
      <c r="F258" s="81"/>
      <c r="H258" s="156"/>
      <c r="N258" s="2"/>
    </row>
    <row r="259" spans="2:14" ht="15.75" customHeight="1" x14ac:dyDescent="0.2">
      <c r="B259" s="7"/>
      <c r="F259" s="81"/>
      <c r="H259" s="156"/>
      <c r="N259" s="2"/>
    </row>
    <row r="260" spans="2:14" ht="15.75" customHeight="1" x14ac:dyDescent="0.2">
      <c r="B260" s="7"/>
      <c r="F260" s="81"/>
      <c r="H260" s="156"/>
      <c r="N260" s="2"/>
    </row>
    <row r="261" spans="2:14" ht="15.75" customHeight="1" x14ac:dyDescent="0.2">
      <c r="B261" s="7"/>
      <c r="F261" s="81"/>
      <c r="H261" s="156"/>
      <c r="N261" s="2"/>
    </row>
    <row r="262" spans="2:14" ht="15.75" customHeight="1" x14ac:dyDescent="0.2">
      <c r="B262" s="7"/>
      <c r="F262" s="81"/>
      <c r="H262" s="156"/>
      <c r="N262" s="2"/>
    </row>
    <row r="263" spans="2:14" ht="15.75" customHeight="1" x14ac:dyDescent="0.2">
      <c r="B263" s="7"/>
      <c r="F263" s="81"/>
      <c r="H263" s="156"/>
      <c r="N263" s="2"/>
    </row>
    <row r="264" spans="2:14" ht="15.75" customHeight="1" x14ac:dyDescent="0.2">
      <c r="B264" s="7"/>
      <c r="F264" s="81"/>
      <c r="H264" s="156"/>
      <c r="N264" s="2"/>
    </row>
    <row r="265" spans="2:14" ht="15.75" customHeight="1" x14ac:dyDescent="0.2">
      <c r="B265" s="7"/>
      <c r="F265" s="81"/>
      <c r="H265" s="156"/>
      <c r="N265" s="2"/>
    </row>
    <row r="266" spans="2:14" ht="15.75" customHeight="1" x14ac:dyDescent="0.2">
      <c r="B266" s="7"/>
      <c r="F266" s="81"/>
      <c r="H266" s="156"/>
      <c r="N266" s="2"/>
    </row>
    <row r="267" spans="2:14" ht="15.75" customHeight="1" x14ac:dyDescent="0.2">
      <c r="B267" s="7"/>
      <c r="F267" s="81"/>
      <c r="H267" s="156"/>
      <c r="N267" s="2"/>
    </row>
    <row r="268" spans="2:14" ht="15.75" customHeight="1" x14ac:dyDescent="0.2">
      <c r="B268" s="7"/>
      <c r="F268" s="81"/>
      <c r="H268" s="156"/>
      <c r="N268" s="2"/>
    </row>
    <row r="269" spans="2:14" ht="15.75" customHeight="1" x14ac:dyDescent="0.2">
      <c r="B269" s="7"/>
      <c r="F269" s="81"/>
      <c r="H269" s="156"/>
      <c r="N269" s="2"/>
    </row>
    <row r="270" spans="2:14" ht="15.75" customHeight="1" x14ac:dyDescent="0.2">
      <c r="B270" s="7"/>
      <c r="F270" s="81"/>
      <c r="H270" s="156"/>
      <c r="N270" s="2"/>
    </row>
    <row r="271" spans="2:14" ht="15.75" customHeight="1" x14ac:dyDescent="0.2">
      <c r="B271" s="7"/>
      <c r="F271" s="81"/>
      <c r="H271" s="156"/>
      <c r="N271" s="2"/>
    </row>
    <row r="272" spans="2:14" ht="15.75" customHeight="1" x14ac:dyDescent="0.2">
      <c r="B272" s="7"/>
      <c r="F272" s="81"/>
      <c r="H272" s="156"/>
      <c r="N272" s="2"/>
    </row>
    <row r="273" spans="2:14" ht="15.75" customHeight="1" x14ac:dyDescent="0.2">
      <c r="B273" s="7"/>
      <c r="F273" s="81"/>
      <c r="H273" s="156"/>
      <c r="N273" s="2"/>
    </row>
    <row r="274" spans="2:14" ht="15.75" customHeight="1" x14ac:dyDescent="0.2">
      <c r="B274" s="7"/>
      <c r="F274" s="81"/>
      <c r="H274" s="156"/>
      <c r="N274" s="2"/>
    </row>
    <row r="275" spans="2:14" ht="15.75" customHeight="1" x14ac:dyDescent="0.2">
      <c r="B275" s="7"/>
      <c r="F275" s="81"/>
      <c r="H275" s="156"/>
      <c r="N275" s="2"/>
    </row>
    <row r="276" spans="2:14" ht="15.75" customHeight="1" x14ac:dyDescent="0.2">
      <c r="B276" s="7"/>
      <c r="F276" s="81"/>
      <c r="H276" s="156"/>
      <c r="N276" s="2"/>
    </row>
    <row r="277" spans="2:14" ht="15.75" customHeight="1" x14ac:dyDescent="0.2">
      <c r="B277" s="7"/>
      <c r="F277" s="81"/>
      <c r="H277" s="156"/>
      <c r="N277" s="2"/>
    </row>
    <row r="278" spans="2:14" ht="15.75" customHeight="1" x14ac:dyDescent="0.2">
      <c r="B278" s="7"/>
      <c r="F278" s="81"/>
      <c r="H278" s="156"/>
      <c r="N278" s="2"/>
    </row>
    <row r="279" spans="2:14" ht="15.75" customHeight="1" x14ac:dyDescent="0.2">
      <c r="B279" s="7"/>
      <c r="F279" s="81"/>
      <c r="H279" s="156"/>
      <c r="N279" s="2"/>
    </row>
    <row r="280" spans="2:14" ht="15.75" customHeight="1" x14ac:dyDescent="0.2">
      <c r="B280" s="7"/>
      <c r="F280" s="81"/>
      <c r="H280" s="156"/>
      <c r="N280" s="2"/>
    </row>
    <row r="281" spans="2:14" ht="15.75" customHeight="1" x14ac:dyDescent="0.2">
      <c r="B281" s="7"/>
      <c r="F281" s="81"/>
      <c r="H281" s="156"/>
      <c r="N281" s="2"/>
    </row>
    <row r="282" spans="2:14" ht="15.75" customHeight="1" x14ac:dyDescent="0.2">
      <c r="B282" s="7"/>
      <c r="F282" s="81"/>
      <c r="H282" s="156"/>
      <c r="N282" s="2"/>
    </row>
    <row r="283" spans="2:14" ht="15.75" customHeight="1" x14ac:dyDescent="0.2">
      <c r="B283" s="7"/>
      <c r="F283" s="81"/>
      <c r="H283" s="156"/>
      <c r="N283" s="2"/>
    </row>
    <row r="284" spans="2:14" ht="15.75" customHeight="1" x14ac:dyDescent="0.2">
      <c r="B284" s="7"/>
      <c r="F284" s="81"/>
      <c r="H284" s="156"/>
      <c r="N284" s="2"/>
    </row>
    <row r="285" spans="2:14" ht="15.75" customHeight="1" x14ac:dyDescent="0.2">
      <c r="B285" s="7"/>
      <c r="F285" s="81"/>
      <c r="H285" s="156"/>
      <c r="N285" s="2"/>
    </row>
    <row r="286" spans="2:14" ht="15.75" customHeight="1" x14ac:dyDescent="0.2">
      <c r="B286" s="7"/>
      <c r="F286" s="81"/>
      <c r="H286" s="156"/>
      <c r="N286" s="2"/>
    </row>
    <row r="287" spans="2:14" ht="15.75" customHeight="1" x14ac:dyDescent="0.2">
      <c r="B287" s="7"/>
      <c r="F287" s="81"/>
      <c r="H287" s="156"/>
      <c r="N287" s="2"/>
    </row>
    <row r="288" spans="2:14" ht="15.75" customHeight="1" x14ac:dyDescent="0.2">
      <c r="B288" s="7"/>
      <c r="F288" s="81"/>
      <c r="H288" s="156"/>
      <c r="N288" s="2"/>
    </row>
    <row r="289" spans="2:14" ht="15.75" customHeight="1" x14ac:dyDescent="0.2">
      <c r="B289" s="7"/>
      <c r="F289" s="81"/>
      <c r="H289" s="156"/>
      <c r="N289" s="2"/>
    </row>
    <row r="290" spans="2:14" ht="15.75" customHeight="1" x14ac:dyDescent="0.2">
      <c r="B290" s="7"/>
      <c r="F290" s="81"/>
      <c r="H290" s="156"/>
      <c r="N290" s="2"/>
    </row>
    <row r="291" spans="2:14" ht="15.75" customHeight="1" x14ac:dyDescent="0.2">
      <c r="B291" s="7"/>
      <c r="F291" s="81"/>
      <c r="H291" s="156"/>
      <c r="N291" s="2"/>
    </row>
    <row r="292" spans="2:14" ht="15.75" customHeight="1" x14ac:dyDescent="0.2">
      <c r="B292" s="7"/>
      <c r="F292" s="81"/>
      <c r="H292" s="156"/>
      <c r="N292" s="2"/>
    </row>
    <row r="293" spans="2:14" ht="15.75" customHeight="1" x14ac:dyDescent="0.2">
      <c r="B293" s="7"/>
      <c r="F293" s="81"/>
      <c r="H293" s="156"/>
      <c r="N293" s="2"/>
    </row>
    <row r="294" spans="2:14" ht="15.75" customHeight="1" x14ac:dyDescent="0.2">
      <c r="B294" s="7"/>
      <c r="F294" s="81"/>
      <c r="H294" s="156"/>
      <c r="N294" s="2"/>
    </row>
    <row r="295" spans="2:14" ht="15.75" customHeight="1" x14ac:dyDescent="0.2">
      <c r="B295" s="7"/>
      <c r="F295" s="81"/>
      <c r="H295" s="156"/>
      <c r="N295" s="2"/>
    </row>
    <row r="296" spans="2:14" ht="15.75" customHeight="1" x14ac:dyDescent="0.2">
      <c r="B296" s="7"/>
      <c r="F296" s="81"/>
      <c r="H296" s="156"/>
      <c r="N296" s="2"/>
    </row>
    <row r="297" spans="2:14" ht="15.75" customHeight="1" x14ac:dyDescent="0.2">
      <c r="B297" s="7"/>
      <c r="F297" s="81"/>
      <c r="H297" s="156"/>
      <c r="N297" s="2"/>
    </row>
    <row r="298" spans="2:14" ht="15.75" customHeight="1" x14ac:dyDescent="0.2">
      <c r="B298" s="7"/>
      <c r="F298" s="81"/>
      <c r="H298" s="156"/>
      <c r="N298" s="2"/>
    </row>
    <row r="299" spans="2:14" ht="15.75" customHeight="1" x14ac:dyDescent="0.2">
      <c r="B299" s="7"/>
      <c r="F299" s="81"/>
      <c r="H299" s="156"/>
      <c r="N299" s="2"/>
    </row>
    <row r="300" spans="2:14" ht="15.75" customHeight="1" x14ac:dyDescent="0.2">
      <c r="B300" s="7"/>
      <c r="F300" s="81"/>
      <c r="H300" s="156"/>
      <c r="N300" s="2"/>
    </row>
    <row r="301" spans="2:14" ht="15.75" customHeight="1" x14ac:dyDescent="0.2">
      <c r="B301" s="7"/>
      <c r="F301" s="81"/>
      <c r="H301" s="156"/>
      <c r="N301" s="2"/>
    </row>
    <row r="302" spans="2:14" ht="15.75" customHeight="1" x14ac:dyDescent="0.2">
      <c r="B302" s="7"/>
      <c r="F302" s="81"/>
      <c r="H302" s="156"/>
      <c r="N302" s="2"/>
    </row>
    <row r="303" spans="2:14" ht="15.75" customHeight="1" x14ac:dyDescent="0.2">
      <c r="B303" s="7"/>
      <c r="F303" s="81"/>
      <c r="H303" s="156"/>
      <c r="N303" s="2"/>
    </row>
    <row r="304" spans="2:14" ht="15.75" customHeight="1" x14ac:dyDescent="0.2">
      <c r="B304" s="7"/>
      <c r="F304" s="81"/>
      <c r="H304" s="156"/>
      <c r="N304" s="2"/>
    </row>
    <row r="305" spans="2:14" ht="15.75" customHeight="1" x14ac:dyDescent="0.2">
      <c r="B305" s="7"/>
      <c r="F305" s="81"/>
      <c r="H305" s="156"/>
      <c r="N305" s="2"/>
    </row>
    <row r="306" spans="2:14" ht="15.75" customHeight="1" x14ac:dyDescent="0.2">
      <c r="B306" s="7"/>
      <c r="F306" s="81"/>
      <c r="H306" s="156"/>
      <c r="N306" s="2"/>
    </row>
    <row r="307" spans="2:14" ht="15.75" customHeight="1" x14ac:dyDescent="0.2">
      <c r="B307" s="7"/>
      <c r="F307" s="81"/>
      <c r="H307" s="156"/>
      <c r="N307" s="2"/>
    </row>
    <row r="308" spans="2:14" ht="15.75" customHeight="1" x14ac:dyDescent="0.2">
      <c r="B308" s="7"/>
      <c r="F308" s="81"/>
      <c r="H308" s="156"/>
      <c r="N308" s="2"/>
    </row>
    <row r="309" spans="2:14" ht="15.75" customHeight="1" x14ac:dyDescent="0.2">
      <c r="B309" s="7"/>
      <c r="F309" s="81"/>
      <c r="H309" s="156"/>
      <c r="N309" s="2"/>
    </row>
    <row r="310" spans="2:14" ht="15.75" customHeight="1" x14ac:dyDescent="0.2">
      <c r="B310" s="7"/>
      <c r="F310" s="81"/>
      <c r="H310" s="156"/>
      <c r="N310" s="2"/>
    </row>
    <row r="311" spans="2:14" ht="15.75" customHeight="1" x14ac:dyDescent="0.2">
      <c r="B311" s="7"/>
      <c r="F311" s="81"/>
      <c r="H311" s="156"/>
      <c r="N311" s="2"/>
    </row>
    <row r="312" spans="2:14" ht="15.75" customHeight="1" x14ac:dyDescent="0.2">
      <c r="B312" s="7"/>
      <c r="F312" s="81"/>
      <c r="H312" s="156"/>
      <c r="N312" s="2"/>
    </row>
    <row r="313" spans="2:14" ht="15.75" customHeight="1" x14ac:dyDescent="0.2">
      <c r="B313" s="7"/>
      <c r="F313" s="81"/>
      <c r="H313" s="156"/>
      <c r="N313" s="2"/>
    </row>
    <row r="314" spans="2:14" ht="15.75" customHeight="1" x14ac:dyDescent="0.2">
      <c r="B314" s="7"/>
      <c r="F314" s="81"/>
      <c r="H314" s="156"/>
      <c r="N314" s="2"/>
    </row>
    <row r="315" spans="2:14" ht="15.75" customHeight="1" x14ac:dyDescent="0.2">
      <c r="B315" s="7"/>
      <c r="F315" s="81"/>
      <c r="H315" s="156"/>
      <c r="N315" s="2"/>
    </row>
    <row r="316" spans="2:14" ht="15.75" customHeight="1" x14ac:dyDescent="0.2">
      <c r="B316" s="7"/>
      <c r="F316" s="81"/>
      <c r="H316" s="156"/>
      <c r="N316" s="2"/>
    </row>
    <row r="317" spans="2:14" ht="15.75" customHeight="1" x14ac:dyDescent="0.2">
      <c r="B317" s="7"/>
      <c r="F317" s="81"/>
      <c r="H317" s="156"/>
      <c r="N317" s="2"/>
    </row>
    <row r="318" spans="2:14" ht="15.75" customHeight="1" x14ac:dyDescent="0.2">
      <c r="B318" s="7"/>
      <c r="F318" s="81"/>
      <c r="H318" s="156"/>
      <c r="N318" s="2"/>
    </row>
    <row r="319" spans="2:14" ht="15.75" customHeight="1" x14ac:dyDescent="0.2">
      <c r="B319" s="7"/>
      <c r="F319" s="81"/>
      <c r="H319" s="156"/>
      <c r="N319" s="2"/>
    </row>
    <row r="320" spans="2:14" ht="15.75" customHeight="1" x14ac:dyDescent="0.2">
      <c r="B320" s="7"/>
      <c r="F320" s="81"/>
      <c r="H320" s="156"/>
      <c r="N320" s="2"/>
    </row>
    <row r="321" spans="2:14" ht="15.75" customHeight="1" x14ac:dyDescent="0.2">
      <c r="B321" s="7"/>
      <c r="F321" s="81"/>
      <c r="H321" s="156"/>
      <c r="N321" s="2"/>
    </row>
    <row r="322" spans="2:14" ht="15.75" customHeight="1" x14ac:dyDescent="0.2">
      <c r="B322" s="7"/>
      <c r="F322" s="81"/>
      <c r="H322" s="156"/>
      <c r="N322" s="2"/>
    </row>
    <row r="323" spans="2:14" ht="15.75" customHeight="1" x14ac:dyDescent="0.2">
      <c r="B323" s="7"/>
      <c r="F323" s="81"/>
      <c r="H323" s="156"/>
      <c r="N323" s="2"/>
    </row>
    <row r="324" spans="2:14" ht="15.75" customHeight="1" x14ac:dyDescent="0.2">
      <c r="B324" s="7"/>
      <c r="F324" s="81"/>
      <c r="H324" s="156"/>
      <c r="N324" s="2"/>
    </row>
    <row r="325" spans="2:14" ht="15.75" customHeight="1" x14ac:dyDescent="0.2">
      <c r="B325" s="7"/>
      <c r="F325" s="81"/>
      <c r="H325" s="156"/>
      <c r="N325" s="2"/>
    </row>
    <row r="326" spans="2:14" ht="15.75" customHeight="1" x14ac:dyDescent="0.2">
      <c r="B326" s="7"/>
      <c r="F326" s="81"/>
      <c r="H326" s="156"/>
      <c r="N326" s="2"/>
    </row>
    <row r="327" spans="2:14" ht="15.75" customHeight="1" x14ac:dyDescent="0.2">
      <c r="B327" s="7"/>
      <c r="F327" s="81"/>
      <c r="H327" s="156"/>
      <c r="N327" s="2"/>
    </row>
    <row r="328" spans="2:14" ht="15.75" customHeight="1" x14ac:dyDescent="0.2">
      <c r="B328" s="7"/>
      <c r="F328" s="81"/>
      <c r="H328" s="156"/>
      <c r="N328" s="2"/>
    </row>
    <row r="329" spans="2:14" ht="15.75" customHeight="1" x14ac:dyDescent="0.2">
      <c r="B329" s="7"/>
      <c r="F329" s="81"/>
      <c r="H329" s="156"/>
      <c r="N329" s="2"/>
    </row>
    <row r="330" spans="2:14" ht="15.75" customHeight="1" x14ac:dyDescent="0.2">
      <c r="B330" s="7"/>
      <c r="F330" s="81"/>
      <c r="H330" s="156"/>
      <c r="N330" s="2"/>
    </row>
    <row r="331" spans="2:14" ht="15.75" customHeight="1" x14ac:dyDescent="0.2">
      <c r="B331" s="7"/>
      <c r="F331" s="81"/>
      <c r="H331" s="156"/>
      <c r="N331" s="2"/>
    </row>
    <row r="332" spans="2:14" ht="15.75" customHeight="1" x14ac:dyDescent="0.2">
      <c r="B332" s="7"/>
      <c r="F332" s="81"/>
      <c r="H332" s="156"/>
      <c r="N332" s="2"/>
    </row>
    <row r="333" spans="2:14" ht="15.75" customHeight="1" x14ac:dyDescent="0.2">
      <c r="B333" s="7"/>
      <c r="F333" s="81"/>
      <c r="H333" s="156"/>
      <c r="N333" s="2"/>
    </row>
    <row r="334" spans="2:14" ht="15.75" customHeight="1" x14ac:dyDescent="0.2">
      <c r="B334" s="7"/>
      <c r="F334" s="81"/>
      <c r="H334" s="156"/>
      <c r="N334" s="2"/>
    </row>
    <row r="335" spans="2:14" ht="15.75" customHeight="1" x14ac:dyDescent="0.2">
      <c r="B335" s="7"/>
      <c r="F335" s="81"/>
      <c r="H335" s="156"/>
      <c r="N335" s="2"/>
    </row>
    <row r="336" spans="2:14" ht="15.75" customHeight="1" x14ac:dyDescent="0.2">
      <c r="B336" s="7"/>
      <c r="F336" s="81"/>
      <c r="H336" s="156"/>
      <c r="N336" s="2"/>
    </row>
    <row r="337" spans="2:14" ht="15.75" customHeight="1" x14ac:dyDescent="0.2">
      <c r="B337" s="7"/>
      <c r="F337" s="81"/>
      <c r="H337" s="156"/>
      <c r="N337" s="2"/>
    </row>
    <row r="338" spans="2:14" ht="15.75" customHeight="1" x14ac:dyDescent="0.2">
      <c r="B338" s="7"/>
      <c r="F338" s="81"/>
      <c r="H338" s="156"/>
      <c r="N338" s="2"/>
    </row>
    <row r="339" spans="2:14" ht="15.75" customHeight="1" x14ac:dyDescent="0.2">
      <c r="B339" s="7"/>
      <c r="F339" s="81"/>
      <c r="H339" s="156"/>
      <c r="N339" s="2"/>
    </row>
    <row r="340" spans="2:14" ht="15.75" customHeight="1" x14ac:dyDescent="0.2">
      <c r="B340" s="7"/>
      <c r="F340" s="81"/>
      <c r="H340" s="156"/>
      <c r="N340" s="2"/>
    </row>
    <row r="341" spans="2:14" ht="15.75" customHeight="1" x14ac:dyDescent="0.2">
      <c r="B341" s="7"/>
      <c r="F341" s="81"/>
      <c r="H341" s="156"/>
      <c r="N341" s="2"/>
    </row>
    <row r="342" spans="2:14" ht="15.75" customHeight="1" x14ac:dyDescent="0.2">
      <c r="B342" s="7"/>
      <c r="F342" s="81"/>
      <c r="H342" s="156"/>
      <c r="N342" s="2"/>
    </row>
    <row r="343" spans="2:14" ht="15.75" customHeight="1" x14ac:dyDescent="0.2">
      <c r="B343" s="7"/>
      <c r="F343" s="81"/>
      <c r="H343" s="156"/>
      <c r="N343" s="2"/>
    </row>
    <row r="344" spans="2:14" ht="15.75" customHeight="1" x14ac:dyDescent="0.2">
      <c r="B344" s="7"/>
      <c r="F344" s="81"/>
      <c r="H344" s="156"/>
      <c r="N344" s="2"/>
    </row>
    <row r="345" spans="2:14" ht="15.75" customHeight="1" x14ac:dyDescent="0.2">
      <c r="B345" s="7"/>
      <c r="F345" s="81"/>
      <c r="H345" s="156"/>
      <c r="N345" s="2"/>
    </row>
    <row r="346" spans="2:14" ht="15.75" customHeight="1" x14ac:dyDescent="0.2">
      <c r="B346" s="7"/>
      <c r="F346" s="81"/>
      <c r="H346" s="156"/>
      <c r="N346" s="2"/>
    </row>
    <row r="347" spans="2:14" ht="15.75" customHeight="1" x14ac:dyDescent="0.2">
      <c r="B347" s="7"/>
      <c r="F347" s="81"/>
      <c r="H347" s="156"/>
      <c r="N347" s="2"/>
    </row>
    <row r="348" spans="2:14" ht="15.75" customHeight="1" x14ac:dyDescent="0.2">
      <c r="B348" s="7"/>
      <c r="F348" s="81"/>
      <c r="H348" s="156"/>
      <c r="N348" s="2"/>
    </row>
    <row r="349" spans="2:14" ht="15.75" customHeight="1" x14ac:dyDescent="0.2">
      <c r="B349" s="7"/>
      <c r="F349" s="81"/>
      <c r="H349" s="156"/>
      <c r="N349" s="2"/>
    </row>
    <row r="350" spans="2:14" ht="15.75" customHeight="1" x14ac:dyDescent="0.2">
      <c r="B350" s="7"/>
      <c r="F350" s="81"/>
      <c r="H350" s="156"/>
      <c r="N350" s="2"/>
    </row>
    <row r="351" spans="2:14" ht="15.75" customHeight="1" x14ac:dyDescent="0.2">
      <c r="B351" s="7"/>
      <c r="F351" s="81"/>
      <c r="H351" s="156"/>
      <c r="N351" s="2"/>
    </row>
    <row r="352" spans="2:14" ht="15.75" customHeight="1" x14ac:dyDescent="0.2">
      <c r="B352" s="7"/>
      <c r="F352" s="81"/>
      <c r="H352" s="156"/>
      <c r="N352" s="2"/>
    </row>
    <row r="353" spans="2:14" ht="15.75" customHeight="1" x14ac:dyDescent="0.2">
      <c r="B353" s="7"/>
      <c r="F353" s="81"/>
      <c r="H353" s="156"/>
      <c r="N353" s="2"/>
    </row>
    <row r="354" spans="2:14" ht="15.75" customHeight="1" x14ac:dyDescent="0.2">
      <c r="B354" s="7"/>
      <c r="F354" s="81"/>
      <c r="H354" s="156"/>
      <c r="N354" s="2"/>
    </row>
    <row r="355" spans="2:14" ht="15.75" customHeight="1" x14ac:dyDescent="0.2">
      <c r="B355" s="7"/>
      <c r="F355" s="81"/>
      <c r="H355" s="156"/>
      <c r="N355" s="2"/>
    </row>
    <row r="356" spans="2:14" ht="15.75" customHeight="1" x14ac:dyDescent="0.2">
      <c r="B356" s="7"/>
      <c r="F356" s="81"/>
      <c r="H356" s="156"/>
      <c r="N356" s="2"/>
    </row>
    <row r="357" spans="2:14" ht="15.75" customHeight="1" x14ac:dyDescent="0.2">
      <c r="B357" s="7"/>
      <c r="F357" s="81"/>
      <c r="H357" s="156"/>
      <c r="N357" s="2"/>
    </row>
    <row r="358" spans="2:14" ht="15.75" customHeight="1" x14ac:dyDescent="0.2">
      <c r="B358" s="7"/>
      <c r="F358" s="81"/>
      <c r="H358" s="156"/>
      <c r="N358" s="2"/>
    </row>
    <row r="359" spans="2:14" ht="15.75" customHeight="1" x14ac:dyDescent="0.2">
      <c r="B359" s="7"/>
      <c r="F359" s="81"/>
      <c r="H359" s="156"/>
      <c r="N359" s="2"/>
    </row>
    <row r="360" spans="2:14" ht="15.75" customHeight="1" x14ac:dyDescent="0.2">
      <c r="B360" s="7"/>
      <c r="F360" s="81"/>
      <c r="H360" s="156"/>
      <c r="N360" s="2"/>
    </row>
    <row r="361" spans="2:14" ht="15.75" customHeight="1" x14ac:dyDescent="0.2">
      <c r="B361" s="7"/>
      <c r="F361" s="81"/>
      <c r="H361" s="156"/>
      <c r="N361" s="2"/>
    </row>
    <row r="362" spans="2:14" ht="15.75" customHeight="1" x14ac:dyDescent="0.2">
      <c r="B362" s="7"/>
      <c r="F362" s="81"/>
      <c r="H362" s="156"/>
      <c r="N362" s="2"/>
    </row>
    <row r="363" spans="2:14" ht="15.75" customHeight="1" x14ac:dyDescent="0.2">
      <c r="B363" s="7"/>
      <c r="F363" s="81"/>
      <c r="H363" s="156"/>
      <c r="N363" s="2"/>
    </row>
    <row r="364" spans="2:14" ht="15.75" customHeight="1" x14ac:dyDescent="0.2">
      <c r="B364" s="7"/>
      <c r="F364" s="81"/>
      <c r="H364" s="156"/>
      <c r="N364" s="2"/>
    </row>
    <row r="365" spans="2:14" ht="15.75" customHeight="1" x14ac:dyDescent="0.2">
      <c r="B365" s="7"/>
      <c r="F365" s="81"/>
      <c r="H365" s="156"/>
      <c r="N365" s="2"/>
    </row>
    <row r="366" spans="2:14" ht="15.75" customHeight="1" x14ac:dyDescent="0.2">
      <c r="B366" s="7"/>
      <c r="F366" s="81"/>
      <c r="H366" s="156"/>
      <c r="N366" s="2"/>
    </row>
    <row r="367" spans="2:14" ht="15.75" customHeight="1" x14ac:dyDescent="0.2">
      <c r="B367" s="7"/>
      <c r="F367" s="81"/>
      <c r="H367" s="156"/>
      <c r="N367" s="2"/>
    </row>
    <row r="368" spans="2:14" ht="15.75" customHeight="1" x14ac:dyDescent="0.2">
      <c r="B368" s="7"/>
      <c r="F368" s="81"/>
      <c r="H368" s="156"/>
      <c r="N368" s="2"/>
    </row>
    <row r="369" spans="2:14" ht="15.75" customHeight="1" x14ac:dyDescent="0.2">
      <c r="B369" s="7"/>
      <c r="F369" s="81"/>
      <c r="H369" s="156"/>
      <c r="N369" s="2"/>
    </row>
    <row r="370" spans="2:14" ht="15.75" customHeight="1" x14ac:dyDescent="0.2">
      <c r="B370" s="7"/>
      <c r="F370" s="81"/>
      <c r="H370" s="156"/>
      <c r="N370" s="2"/>
    </row>
    <row r="371" spans="2:14" ht="15.75" customHeight="1" x14ac:dyDescent="0.2">
      <c r="B371" s="7"/>
      <c r="F371" s="81"/>
      <c r="H371" s="156"/>
      <c r="N371" s="2"/>
    </row>
    <row r="372" spans="2:14" ht="15.75" customHeight="1" x14ac:dyDescent="0.2">
      <c r="B372" s="7"/>
      <c r="F372" s="81"/>
      <c r="H372" s="156"/>
      <c r="N372" s="2"/>
    </row>
    <row r="373" spans="2:14" ht="15.75" customHeight="1" x14ac:dyDescent="0.2">
      <c r="B373" s="7"/>
      <c r="F373" s="81"/>
      <c r="H373" s="156"/>
      <c r="N373" s="2"/>
    </row>
    <row r="374" spans="2:14" ht="15.75" customHeight="1" x14ac:dyDescent="0.2">
      <c r="B374" s="7"/>
      <c r="F374" s="81"/>
      <c r="H374" s="156"/>
      <c r="N374" s="2"/>
    </row>
    <row r="375" spans="2:14" ht="15.75" customHeight="1" x14ac:dyDescent="0.2">
      <c r="B375" s="7"/>
      <c r="F375" s="81"/>
      <c r="H375" s="156"/>
      <c r="N375" s="2"/>
    </row>
    <row r="376" spans="2:14" ht="15.75" customHeight="1" x14ac:dyDescent="0.2">
      <c r="B376" s="7"/>
      <c r="F376" s="81"/>
      <c r="H376" s="156"/>
      <c r="N376" s="2"/>
    </row>
    <row r="377" spans="2:14" ht="15.75" customHeight="1" x14ac:dyDescent="0.2">
      <c r="B377" s="7"/>
      <c r="F377" s="81"/>
      <c r="H377" s="156"/>
      <c r="N377" s="2"/>
    </row>
    <row r="378" spans="2:14" ht="15.75" customHeight="1" x14ac:dyDescent="0.2">
      <c r="B378" s="7"/>
      <c r="F378" s="81"/>
      <c r="H378" s="156"/>
      <c r="N378" s="2"/>
    </row>
    <row r="379" spans="2:14" ht="15.75" customHeight="1" x14ac:dyDescent="0.2">
      <c r="B379" s="7"/>
      <c r="F379" s="81"/>
      <c r="H379" s="156"/>
      <c r="N379" s="2"/>
    </row>
    <row r="380" spans="2:14" ht="15.75" customHeight="1" x14ac:dyDescent="0.2">
      <c r="B380" s="7"/>
      <c r="F380" s="81"/>
      <c r="H380" s="156"/>
      <c r="N380" s="2"/>
    </row>
    <row r="381" spans="2:14" ht="15.75" customHeight="1" x14ac:dyDescent="0.2">
      <c r="B381" s="7"/>
      <c r="F381" s="81"/>
      <c r="H381" s="156"/>
      <c r="N381" s="2"/>
    </row>
    <row r="382" spans="2:14" ht="15.75" customHeight="1" x14ac:dyDescent="0.2">
      <c r="B382" s="7"/>
      <c r="F382" s="81"/>
      <c r="H382" s="156"/>
      <c r="N382" s="2"/>
    </row>
    <row r="383" spans="2:14" ht="15.75" customHeight="1" x14ac:dyDescent="0.2">
      <c r="B383" s="7"/>
      <c r="F383" s="81"/>
      <c r="H383" s="156"/>
      <c r="N383" s="2"/>
    </row>
    <row r="384" spans="2:14" ht="15.75" customHeight="1" x14ac:dyDescent="0.2">
      <c r="B384" s="7"/>
      <c r="F384" s="81"/>
      <c r="H384" s="156"/>
      <c r="N384" s="2"/>
    </row>
    <row r="385" spans="2:14" ht="15.75" customHeight="1" x14ac:dyDescent="0.2">
      <c r="B385" s="7"/>
      <c r="F385" s="81"/>
      <c r="H385" s="156"/>
      <c r="N385" s="2"/>
    </row>
    <row r="386" spans="2:14" ht="15.75" customHeight="1" x14ac:dyDescent="0.2">
      <c r="B386" s="7"/>
      <c r="F386" s="81"/>
      <c r="H386" s="156"/>
      <c r="N386" s="2"/>
    </row>
    <row r="387" spans="2:14" ht="15.75" customHeight="1" x14ac:dyDescent="0.2">
      <c r="B387" s="7"/>
      <c r="F387" s="81"/>
      <c r="H387" s="156"/>
      <c r="N387" s="2"/>
    </row>
    <row r="388" spans="2:14" ht="15.75" customHeight="1" x14ac:dyDescent="0.2">
      <c r="B388" s="7"/>
      <c r="F388" s="81"/>
      <c r="H388" s="156"/>
      <c r="N388" s="2"/>
    </row>
    <row r="389" spans="2:14" ht="15.75" customHeight="1" x14ac:dyDescent="0.2">
      <c r="B389" s="7"/>
      <c r="F389" s="81"/>
      <c r="H389" s="156"/>
      <c r="N389" s="2"/>
    </row>
    <row r="390" spans="2:14" ht="15.75" customHeight="1" x14ac:dyDescent="0.2">
      <c r="B390" s="7"/>
      <c r="F390" s="81"/>
      <c r="H390" s="156"/>
      <c r="N390" s="2"/>
    </row>
    <row r="391" spans="2:14" ht="15.75" customHeight="1" x14ac:dyDescent="0.2">
      <c r="B391" s="7"/>
      <c r="F391" s="81"/>
      <c r="H391" s="156"/>
      <c r="N391" s="2"/>
    </row>
    <row r="392" spans="2:14" ht="15.75" customHeight="1" x14ac:dyDescent="0.2">
      <c r="B392" s="7"/>
      <c r="F392" s="81"/>
      <c r="H392" s="156"/>
      <c r="N392" s="2"/>
    </row>
    <row r="393" spans="2:14" ht="15.75" customHeight="1" x14ac:dyDescent="0.2">
      <c r="B393" s="7"/>
      <c r="F393" s="81"/>
      <c r="H393" s="156"/>
      <c r="N393" s="2"/>
    </row>
    <row r="394" spans="2:14" ht="15.75" customHeight="1" x14ac:dyDescent="0.2">
      <c r="B394" s="7"/>
      <c r="F394" s="81"/>
      <c r="H394" s="156"/>
      <c r="N394" s="2"/>
    </row>
    <row r="395" spans="2:14" ht="15.75" customHeight="1" x14ac:dyDescent="0.2">
      <c r="B395" s="7"/>
      <c r="F395" s="81"/>
      <c r="H395" s="156"/>
      <c r="N395" s="2"/>
    </row>
    <row r="396" spans="2:14" ht="15.75" customHeight="1" x14ac:dyDescent="0.2">
      <c r="B396" s="7"/>
      <c r="F396" s="81"/>
      <c r="H396" s="156"/>
      <c r="N396" s="2"/>
    </row>
    <row r="397" spans="2:14" ht="15.75" customHeight="1" x14ac:dyDescent="0.2">
      <c r="B397" s="7"/>
      <c r="F397" s="81"/>
      <c r="H397" s="156"/>
      <c r="N397" s="2"/>
    </row>
    <row r="398" spans="2:14" ht="15.75" customHeight="1" x14ac:dyDescent="0.2">
      <c r="B398" s="7"/>
      <c r="F398" s="81"/>
      <c r="H398" s="156"/>
      <c r="N398" s="2"/>
    </row>
    <row r="399" spans="2:14" ht="15.75" customHeight="1" x14ac:dyDescent="0.2">
      <c r="B399" s="7"/>
      <c r="F399" s="81"/>
      <c r="H399" s="156"/>
      <c r="N399" s="2"/>
    </row>
    <row r="400" spans="2:14" ht="15.75" customHeight="1" x14ac:dyDescent="0.2">
      <c r="B400" s="7"/>
      <c r="F400" s="81"/>
      <c r="H400" s="156"/>
      <c r="N400" s="2"/>
    </row>
    <row r="401" spans="2:14" ht="15.75" customHeight="1" x14ac:dyDescent="0.2">
      <c r="B401" s="7"/>
      <c r="F401" s="81"/>
      <c r="H401" s="156"/>
      <c r="N401" s="2"/>
    </row>
    <row r="402" spans="2:14" ht="15.75" customHeight="1" x14ac:dyDescent="0.2">
      <c r="B402" s="7"/>
      <c r="F402" s="81"/>
      <c r="H402" s="156"/>
      <c r="N402" s="2"/>
    </row>
    <row r="403" spans="2:14" ht="15.75" customHeight="1" x14ac:dyDescent="0.2">
      <c r="B403" s="7"/>
      <c r="F403" s="81"/>
      <c r="H403" s="156"/>
      <c r="N403" s="2"/>
    </row>
    <row r="404" spans="2:14" ht="15.75" customHeight="1" x14ac:dyDescent="0.2">
      <c r="B404" s="7"/>
      <c r="F404" s="81"/>
      <c r="H404" s="156"/>
      <c r="N404" s="2"/>
    </row>
    <row r="405" spans="2:14" ht="15.75" customHeight="1" x14ac:dyDescent="0.2">
      <c r="B405" s="7"/>
      <c r="F405" s="81"/>
      <c r="H405" s="156"/>
      <c r="N405" s="2"/>
    </row>
    <row r="406" spans="2:14" ht="15.75" customHeight="1" x14ac:dyDescent="0.2">
      <c r="B406" s="7"/>
      <c r="F406" s="81"/>
      <c r="H406" s="156"/>
      <c r="N406" s="2"/>
    </row>
    <row r="407" spans="2:14" ht="15.75" customHeight="1" x14ac:dyDescent="0.2">
      <c r="B407" s="7"/>
      <c r="F407" s="81"/>
      <c r="H407" s="156"/>
      <c r="N407" s="2"/>
    </row>
    <row r="408" spans="2:14" ht="15.75" customHeight="1" x14ac:dyDescent="0.2">
      <c r="B408" s="7"/>
      <c r="F408" s="81"/>
      <c r="H408" s="156"/>
      <c r="N408" s="2"/>
    </row>
    <row r="409" spans="2:14" ht="15.75" customHeight="1" x14ac:dyDescent="0.2">
      <c r="B409" s="7"/>
      <c r="F409" s="81"/>
      <c r="H409" s="156"/>
      <c r="N409" s="2"/>
    </row>
    <row r="410" spans="2:14" ht="15.75" customHeight="1" x14ac:dyDescent="0.2">
      <c r="B410" s="7"/>
      <c r="F410" s="81"/>
      <c r="H410" s="156"/>
      <c r="N410" s="2"/>
    </row>
    <row r="411" spans="2:14" ht="15.75" customHeight="1" x14ac:dyDescent="0.2">
      <c r="B411" s="7"/>
      <c r="F411" s="81"/>
      <c r="H411" s="156"/>
      <c r="N411" s="2"/>
    </row>
    <row r="412" spans="2:14" ht="15.75" customHeight="1" x14ac:dyDescent="0.2">
      <c r="B412" s="7"/>
      <c r="F412" s="81"/>
      <c r="H412" s="156"/>
      <c r="N412" s="2"/>
    </row>
    <row r="413" spans="2:14" ht="15.75" customHeight="1" x14ac:dyDescent="0.2">
      <c r="B413" s="7"/>
      <c r="F413" s="81"/>
      <c r="H413" s="156"/>
      <c r="N413" s="2"/>
    </row>
    <row r="414" spans="2:14" ht="15.75" customHeight="1" x14ac:dyDescent="0.2">
      <c r="B414" s="7"/>
      <c r="F414" s="81"/>
      <c r="H414" s="156"/>
      <c r="N414" s="2"/>
    </row>
    <row r="415" spans="2:14" ht="15.75" customHeight="1" x14ac:dyDescent="0.2">
      <c r="B415" s="7"/>
      <c r="F415" s="81"/>
      <c r="H415" s="156"/>
      <c r="N415" s="2"/>
    </row>
    <row r="416" spans="2:14" ht="15.75" customHeight="1" x14ac:dyDescent="0.2">
      <c r="B416" s="7"/>
      <c r="F416" s="81"/>
      <c r="H416" s="156"/>
      <c r="N416" s="2"/>
    </row>
    <row r="417" spans="2:14" ht="15.75" customHeight="1" x14ac:dyDescent="0.2">
      <c r="B417" s="7"/>
      <c r="F417" s="81"/>
      <c r="H417" s="156"/>
      <c r="N417" s="2"/>
    </row>
    <row r="418" spans="2:14" ht="15.75" customHeight="1" x14ac:dyDescent="0.2">
      <c r="B418" s="7"/>
      <c r="F418" s="81"/>
      <c r="H418" s="156"/>
      <c r="N418" s="2"/>
    </row>
    <row r="419" spans="2:14" ht="15.75" customHeight="1" x14ac:dyDescent="0.2">
      <c r="B419" s="7"/>
      <c r="F419" s="81"/>
      <c r="H419" s="156"/>
      <c r="N419" s="2"/>
    </row>
    <row r="420" spans="2:14" ht="15.75" customHeight="1" x14ac:dyDescent="0.2">
      <c r="B420" s="7"/>
      <c r="F420" s="81"/>
      <c r="H420" s="156"/>
      <c r="N420" s="2"/>
    </row>
    <row r="421" spans="2:14" ht="15.75" customHeight="1" x14ac:dyDescent="0.2">
      <c r="B421" s="7"/>
      <c r="F421" s="81"/>
      <c r="H421" s="156"/>
      <c r="N421" s="2"/>
    </row>
    <row r="422" spans="2:14" ht="15.75" customHeight="1" x14ac:dyDescent="0.2">
      <c r="B422" s="7"/>
      <c r="F422" s="81"/>
      <c r="H422" s="156"/>
      <c r="N422" s="2"/>
    </row>
    <row r="423" spans="2:14" ht="15.75" customHeight="1" x14ac:dyDescent="0.2">
      <c r="B423" s="7"/>
      <c r="F423" s="81"/>
      <c r="H423" s="156"/>
      <c r="N423" s="2"/>
    </row>
    <row r="424" spans="2:14" ht="15.75" customHeight="1" x14ac:dyDescent="0.2">
      <c r="B424" s="7"/>
      <c r="F424" s="81"/>
      <c r="H424" s="156"/>
      <c r="N424" s="2"/>
    </row>
    <row r="425" spans="2:14" ht="15.75" customHeight="1" x14ac:dyDescent="0.2">
      <c r="B425" s="7"/>
      <c r="F425" s="81"/>
      <c r="H425" s="156"/>
      <c r="N425" s="2"/>
    </row>
    <row r="426" spans="2:14" ht="15.75" customHeight="1" x14ac:dyDescent="0.2">
      <c r="B426" s="7"/>
      <c r="F426" s="81"/>
      <c r="H426" s="156"/>
      <c r="N426" s="2"/>
    </row>
    <row r="427" spans="2:14" ht="15.75" customHeight="1" x14ac:dyDescent="0.2">
      <c r="B427" s="7"/>
      <c r="F427" s="81"/>
      <c r="H427" s="156"/>
      <c r="N427" s="2"/>
    </row>
    <row r="428" spans="2:14" ht="15.75" customHeight="1" x14ac:dyDescent="0.2">
      <c r="B428" s="7"/>
      <c r="F428" s="81"/>
      <c r="H428" s="156"/>
      <c r="N428" s="2"/>
    </row>
    <row r="429" spans="2:14" ht="15.75" customHeight="1" x14ac:dyDescent="0.2">
      <c r="B429" s="7"/>
      <c r="F429" s="81"/>
      <c r="H429" s="156"/>
      <c r="N429" s="2"/>
    </row>
    <row r="430" spans="2:14" ht="15.75" customHeight="1" x14ac:dyDescent="0.2">
      <c r="B430" s="7"/>
      <c r="F430" s="81"/>
      <c r="H430" s="156"/>
      <c r="N430" s="2"/>
    </row>
    <row r="431" spans="2:14" ht="15.75" customHeight="1" x14ac:dyDescent="0.2">
      <c r="B431" s="7"/>
      <c r="F431" s="81"/>
      <c r="H431" s="156"/>
      <c r="N431" s="2"/>
    </row>
    <row r="432" spans="2:14" ht="15.75" customHeight="1" x14ac:dyDescent="0.2">
      <c r="B432" s="7"/>
      <c r="F432" s="81"/>
      <c r="H432" s="156"/>
      <c r="N432" s="2"/>
    </row>
    <row r="433" spans="2:14" ht="15.75" customHeight="1" x14ac:dyDescent="0.2">
      <c r="B433" s="7"/>
      <c r="F433" s="81"/>
      <c r="H433" s="156"/>
      <c r="N433" s="2"/>
    </row>
    <row r="434" spans="2:14" ht="15.75" customHeight="1" x14ac:dyDescent="0.2">
      <c r="B434" s="7"/>
      <c r="F434" s="81"/>
      <c r="H434" s="156"/>
      <c r="N434" s="2"/>
    </row>
    <row r="435" spans="2:14" ht="15.75" customHeight="1" x14ac:dyDescent="0.2">
      <c r="B435" s="7"/>
      <c r="F435" s="81"/>
      <c r="H435" s="156"/>
      <c r="N435" s="2"/>
    </row>
    <row r="436" spans="2:14" ht="15.75" customHeight="1" x14ac:dyDescent="0.2">
      <c r="B436" s="7"/>
      <c r="F436" s="81"/>
      <c r="H436" s="156"/>
      <c r="N436" s="2"/>
    </row>
    <row r="437" spans="2:14" ht="15.75" customHeight="1" x14ac:dyDescent="0.2">
      <c r="B437" s="7"/>
      <c r="F437" s="81"/>
      <c r="H437" s="156"/>
      <c r="N437" s="2"/>
    </row>
    <row r="438" spans="2:14" ht="15.75" customHeight="1" x14ac:dyDescent="0.2">
      <c r="B438" s="7"/>
      <c r="F438" s="81"/>
      <c r="H438" s="156"/>
      <c r="N438" s="2"/>
    </row>
    <row r="439" spans="2:14" ht="15.75" customHeight="1" x14ac:dyDescent="0.2">
      <c r="B439" s="7"/>
      <c r="F439" s="81"/>
      <c r="H439" s="156"/>
      <c r="N439" s="2"/>
    </row>
    <row r="440" spans="2:14" ht="15.75" customHeight="1" x14ac:dyDescent="0.2">
      <c r="B440" s="7"/>
      <c r="F440" s="81"/>
      <c r="H440" s="156"/>
      <c r="N440" s="2"/>
    </row>
    <row r="441" spans="2:14" ht="15.75" customHeight="1" x14ac:dyDescent="0.2">
      <c r="B441" s="7"/>
      <c r="F441" s="81"/>
      <c r="H441" s="156"/>
      <c r="N441" s="2"/>
    </row>
    <row r="442" spans="2:14" ht="15.75" customHeight="1" x14ac:dyDescent="0.2">
      <c r="B442" s="7"/>
      <c r="F442" s="81"/>
      <c r="H442" s="156"/>
      <c r="N442" s="2"/>
    </row>
    <row r="443" spans="2:14" ht="15.75" customHeight="1" x14ac:dyDescent="0.2">
      <c r="B443" s="7"/>
      <c r="F443" s="81"/>
      <c r="H443" s="156"/>
      <c r="N443" s="2"/>
    </row>
    <row r="444" spans="2:14" ht="15.75" customHeight="1" x14ac:dyDescent="0.2">
      <c r="B444" s="7"/>
      <c r="F444" s="81"/>
      <c r="H444" s="156"/>
      <c r="N444" s="2"/>
    </row>
    <row r="445" spans="2:14" ht="15.75" customHeight="1" x14ac:dyDescent="0.2">
      <c r="B445" s="7"/>
      <c r="F445" s="81"/>
      <c r="H445" s="156"/>
      <c r="N445" s="2"/>
    </row>
    <row r="446" spans="2:14" ht="15.75" customHeight="1" x14ac:dyDescent="0.2">
      <c r="B446" s="7"/>
      <c r="F446" s="81"/>
      <c r="H446" s="156"/>
      <c r="N446" s="2"/>
    </row>
    <row r="447" spans="2:14" ht="15.75" customHeight="1" x14ac:dyDescent="0.2">
      <c r="B447" s="7"/>
      <c r="F447" s="81"/>
      <c r="H447" s="156"/>
      <c r="N447" s="2"/>
    </row>
    <row r="448" spans="2:14" ht="15.75" customHeight="1" x14ac:dyDescent="0.2">
      <c r="B448" s="7"/>
      <c r="F448" s="81"/>
      <c r="H448" s="156"/>
      <c r="N448" s="2"/>
    </row>
    <row r="449" spans="2:14" ht="15.75" customHeight="1" x14ac:dyDescent="0.2">
      <c r="B449" s="7"/>
      <c r="F449" s="81"/>
      <c r="H449" s="156"/>
      <c r="N449" s="2"/>
    </row>
    <row r="450" spans="2:14" ht="15.75" customHeight="1" x14ac:dyDescent="0.2">
      <c r="B450" s="7"/>
      <c r="F450" s="81"/>
      <c r="H450" s="156"/>
      <c r="N450" s="2"/>
    </row>
    <row r="451" spans="2:14" ht="15.75" customHeight="1" x14ac:dyDescent="0.2">
      <c r="B451" s="7"/>
      <c r="F451" s="81"/>
      <c r="H451" s="156"/>
      <c r="N451" s="2"/>
    </row>
    <row r="452" spans="2:14" ht="15.75" customHeight="1" x14ac:dyDescent="0.2">
      <c r="B452" s="7"/>
      <c r="F452" s="81"/>
      <c r="H452" s="156"/>
      <c r="N452" s="2"/>
    </row>
    <row r="453" spans="2:14" ht="15.75" customHeight="1" x14ac:dyDescent="0.2">
      <c r="B453" s="7"/>
      <c r="F453" s="81"/>
      <c r="H453" s="156"/>
      <c r="N453" s="2"/>
    </row>
    <row r="454" spans="2:14" ht="15.75" customHeight="1" x14ac:dyDescent="0.2">
      <c r="B454" s="7"/>
      <c r="F454" s="81"/>
      <c r="H454" s="156"/>
      <c r="N454" s="2"/>
    </row>
    <row r="455" spans="2:14" ht="15.75" customHeight="1" x14ac:dyDescent="0.2">
      <c r="B455" s="7"/>
      <c r="F455" s="81"/>
      <c r="H455" s="156"/>
      <c r="N455" s="2"/>
    </row>
    <row r="456" spans="2:14" ht="15.75" customHeight="1" x14ac:dyDescent="0.2">
      <c r="B456" s="7"/>
      <c r="F456" s="81"/>
      <c r="H456" s="156"/>
      <c r="N456" s="2"/>
    </row>
    <row r="457" spans="2:14" ht="15.75" customHeight="1" x14ac:dyDescent="0.2">
      <c r="B457" s="7"/>
      <c r="F457" s="81"/>
      <c r="H457" s="156"/>
      <c r="N457" s="2"/>
    </row>
    <row r="458" spans="2:14" ht="15.75" customHeight="1" x14ac:dyDescent="0.2">
      <c r="B458" s="7"/>
      <c r="F458" s="81"/>
      <c r="H458" s="156"/>
      <c r="N458" s="2"/>
    </row>
    <row r="459" spans="2:14" ht="15.75" customHeight="1" x14ac:dyDescent="0.2">
      <c r="B459" s="7"/>
      <c r="F459" s="81"/>
      <c r="H459" s="156"/>
      <c r="N459" s="2"/>
    </row>
    <row r="460" spans="2:14" ht="15.75" customHeight="1" x14ac:dyDescent="0.2">
      <c r="B460" s="7"/>
      <c r="F460" s="81"/>
      <c r="H460" s="156"/>
      <c r="N460" s="2"/>
    </row>
    <row r="461" spans="2:14" ht="15.75" customHeight="1" x14ac:dyDescent="0.2">
      <c r="B461" s="7"/>
      <c r="F461" s="81"/>
      <c r="H461" s="156"/>
      <c r="N461" s="2"/>
    </row>
    <row r="462" spans="2:14" ht="15.75" customHeight="1" x14ac:dyDescent="0.2">
      <c r="B462" s="7"/>
      <c r="F462" s="81"/>
      <c r="H462" s="156"/>
      <c r="N462" s="2"/>
    </row>
    <row r="463" spans="2:14" ht="15.75" customHeight="1" x14ac:dyDescent="0.2">
      <c r="B463" s="7"/>
      <c r="F463" s="81"/>
      <c r="H463" s="156"/>
      <c r="N463" s="2"/>
    </row>
    <row r="464" spans="2:14" ht="15.75" customHeight="1" x14ac:dyDescent="0.2">
      <c r="B464" s="7"/>
      <c r="F464" s="81"/>
      <c r="H464" s="156"/>
      <c r="N464" s="2"/>
    </row>
    <row r="465" spans="2:14" ht="15.75" customHeight="1" x14ac:dyDescent="0.2">
      <c r="B465" s="7"/>
      <c r="F465" s="81"/>
      <c r="H465" s="156"/>
      <c r="N465" s="2"/>
    </row>
    <row r="466" spans="2:14" ht="15.75" customHeight="1" x14ac:dyDescent="0.2">
      <c r="B466" s="7"/>
      <c r="F466" s="81"/>
      <c r="H466" s="156"/>
      <c r="N466" s="2"/>
    </row>
    <row r="467" spans="2:14" ht="15.75" customHeight="1" x14ac:dyDescent="0.2">
      <c r="B467" s="7"/>
      <c r="F467" s="81"/>
      <c r="H467" s="156"/>
      <c r="N467" s="2"/>
    </row>
    <row r="468" spans="2:14" ht="15.75" customHeight="1" x14ac:dyDescent="0.2">
      <c r="B468" s="7"/>
      <c r="F468" s="81"/>
      <c r="H468" s="156"/>
      <c r="N468" s="2"/>
    </row>
    <row r="469" spans="2:14" ht="15.75" customHeight="1" x14ac:dyDescent="0.2">
      <c r="B469" s="7"/>
      <c r="F469" s="81"/>
      <c r="H469" s="156"/>
      <c r="N469" s="2"/>
    </row>
    <row r="470" spans="2:14" ht="15.75" customHeight="1" x14ac:dyDescent="0.2">
      <c r="B470" s="7"/>
      <c r="F470" s="81"/>
      <c r="H470" s="156"/>
      <c r="N470" s="2"/>
    </row>
    <row r="471" spans="2:14" ht="15.75" customHeight="1" x14ac:dyDescent="0.2">
      <c r="B471" s="7"/>
      <c r="F471" s="81"/>
      <c r="H471" s="156"/>
      <c r="N471" s="2"/>
    </row>
    <row r="472" spans="2:14" ht="15.75" customHeight="1" x14ac:dyDescent="0.2">
      <c r="B472" s="7"/>
      <c r="F472" s="81"/>
      <c r="H472" s="156"/>
      <c r="N472" s="2"/>
    </row>
    <row r="473" spans="2:14" ht="15.75" customHeight="1" x14ac:dyDescent="0.2">
      <c r="B473" s="7"/>
      <c r="F473" s="81"/>
      <c r="H473" s="156"/>
      <c r="N473" s="2"/>
    </row>
    <row r="474" spans="2:14" ht="15.75" customHeight="1" x14ac:dyDescent="0.2">
      <c r="B474" s="7"/>
      <c r="F474" s="81"/>
      <c r="H474" s="156"/>
      <c r="N474" s="2"/>
    </row>
    <row r="475" spans="2:14" ht="15.75" customHeight="1" x14ac:dyDescent="0.2">
      <c r="B475" s="7"/>
      <c r="F475" s="81"/>
      <c r="H475" s="156"/>
      <c r="N475" s="2"/>
    </row>
    <row r="476" spans="2:14" ht="15.75" customHeight="1" x14ac:dyDescent="0.2">
      <c r="B476" s="7"/>
      <c r="F476" s="81"/>
      <c r="H476" s="156"/>
      <c r="N476" s="2"/>
    </row>
    <row r="477" spans="2:14" ht="15.75" customHeight="1" x14ac:dyDescent="0.2">
      <c r="B477" s="7"/>
      <c r="F477" s="81"/>
      <c r="H477" s="156"/>
      <c r="N477" s="2"/>
    </row>
    <row r="478" spans="2:14" ht="15.75" customHeight="1" x14ac:dyDescent="0.2">
      <c r="B478" s="7"/>
      <c r="F478" s="81"/>
      <c r="H478" s="156"/>
      <c r="N478" s="2"/>
    </row>
    <row r="479" spans="2:14" ht="15.75" customHeight="1" x14ac:dyDescent="0.2">
      <c r="B479" s="7"/>
      <c r="F479" s="81"/>
      <c r="H479" s="156"/>
      <c r="N479" s="2"/>
    </row>
    <row r="480" spans="2:14" ht="15.75" customHeight="1" x14ac:dyDescent="0.2">
      <c r="B480" s="7"/>
      <c r="F480" s="81"/>
      <c r="H480" s="156"/>
      <c r="N480" s="2"/>
    </row>
    <row r="481" spans="2:14" ht="15.75" customHeight="1" x14ac:dyDescent="0.2">
      <c r="B481" s="7"/>
      <c r="F481" s="81"/>
      <c r="H481" s="156"/>
      <c r="N481" s="2"/>
    </row>
    <row r="482" spans="2:14" ht="15.75" customHeight="1" x14ac:dyDescent="0.2">
      <c r="B482" s="7"/>
      <c r="F482" s="81"/>
      <c r="H482" s="156"/>
      <c r="N482" s="2"/>
    </row>
    <row r="483" spans="2:14" ht="15.75" customHeight="1" x14ac:dyDescent="0.2">
      <c r="B483" s="7"/>
      <c r="F483" s="81"/>
      <c r="H483" s="156"/>
      <c r="N483" s="2"/>
    </row>
    <row r="484" spans="2:14" ht="15.75" customHeight="1" x14ac:dyDescent="0.2">
      <c r="B484" s="7"/>
      <c r="F484" s="81"/>
      <c r="H484" s="156"/>
      <c r="N484" s="2"/>
    </row>
    <row r="485" spans="2:14" ht="15.75" customHeight="1" x14ac:dyDescent="0.2">
      <c r="B485" s="7"/>
      <c r="F485" s="81"/>
      <c r="H485" s="156"/>
      <c r="N485" s="2"/>
    </row>
    <row r="486" spans="2:14" ht="15.75" customHeight="1" x14ac:dyDescent="0.2">
      <c r="B486" s="7"/>
      <c r="F486" s="81"/>
      <c r="H486" s="156"/>
      <c r="N486" s="2"/>
    </row>
    <row r="487" spans="2:14" ht="15.75" customHeight="1" x14ac:dyDescent="0.2">
      <c r="B487" s="7"/>
      <c r="F487" s="81"/>
      <c r="H487" s="156"/>
      <c r="N487" s="2"/>
    </row>
    <row r="488" spans="2:14" ht="15.75" customHeight="1" x14ac:dyDescent="0.2">
      <c r="B488" s="7"/>
      <c r="F488" s="81"/>
      <c r="H488" s="156"/>
      <c r="N488" s="2"/>
    </row>
    <row r="489" spans="2:14" ht="15.75" customHeight="1" x14ac:dyDescent="0.2">
      <c r="B489" s="7"/>
      <c r="F489" s="81"/>
      <c r="H489" s="156"/>
      <c r="N489" s="2"/>
    </row>
    <row r="490" spans="2:14" ht="15.75" customHeight="1" x14ac:dyDescent="0.2">
      <c r="B490" s="7"/>
      <c r="F490" s="81"/>
      <c r="H490" s="156"/>
      <c r="N490" s="2"/>
    </row>
    <row r="491" spans="2:14" ht="15.75" customHeight="1" x14ac:dyDescent="0.2">
      <c r="B491" s="7"/>
      <c r="F491" s="81"/>
      <c r="H491" s="156"/>
      <c r="N491" s="2"/>
    </row>
    <row r="492" spans="2:14" ht="15.75" customHeight="1" x14ac:dyDescent="0.2">
      <c r="B492" s="7"/>
      <c r="F492" s="81"/>
      <c r="H492" s="156"/>
      <c r="N492" s="2"/>
    </row>
    <row r="493" spans="2:14" ht="15.75" customHeight="1" x14ac:dyDescent="0.2">
      <c r="B493" s="7"/>
      <c r="F493" s="81"/>
      <c r="H493" s="156"/>
      <c r="N493" s="2"/>
    </row>
    <row r="494" spans="2:14" ht="15.75" customHeight="1" x14ac:dyDescent="0.2">
      <c r="B494" s="7"/>
      <c r="F494" s="81"/>
      <c r="H494" s="156"/>
      <c r="N494" s="2"/>
    </row>
    <row r="495" spans="2:14" ht="15.75" customHeight="1" x14ac:dyDescent="0.2">
      <c r="B495" s="7"/>
      <c r="F495" s="81"/>
      <c r="H495" s="156"/>
      <c r="N495" s="2"/>
    </row>
    <row r="496" spans="2:14" ht="15.75" customHeight="1" x14ac:dyDescent="0.2">
      <c r="B496" s="7"/>
      <c r="F496" s="81"/>
      <c r="H496" s="156"/>
      <c r="N496" s="2"/>
    </row>
    <row r="497" spans="2:14" ht="15.75" customHeight="1" x14ac:dyDescent="0.2">
      <c r="B497" s="7"/>
      <c r="F497" s="81"/>
      <c r="H497" s="156"/>
      <c r="N497" s="2"/>
    </row>
    <row r="498" spans="2:14" ht="15.75" customHeight="1" x14ac:dyDescent="0.2">
      <c r="B498" s="7"/>
      <c r="F498" s="81"/>
      <c r="H498" s="156"/>
      <c r="N498" s="2"/>
    </row>
    <row r="499" spans="2:14" ht="15.75" customHeight="1" x14ac:dyDescent="0.2">
      <c r="B499" s="7"/>
      <c r="F499" s="81"/>
      <c r="H499" s="156"/>
      <c r="N499" s="2"/>
    </row>
    <row r="500" spans="2:14" ht="15.75" customHeight="1" x14ac:dyDescent="0.2">
      <c r="B500" s="7"/>
      <c r="F500" s="81"/>
      <c r="H500" s="156"/>
      <c r="N500" s="2"/>
    </row>
    <row r="501" spans="2:14" ht="15.75" customHeight="1" x14ac:dyDescent="0.2">
      <c r="B501" s="7"/>
      <c r="F501" s="81"/>
      <c r="H501" s="156"/>
      <c r="N501" s="2"/>
    </row>
    <row r="502" spans="2:14" ht="15.75" customHeight="1" x14ac:dyDescent="0.2">
      <c r="B502" s="7"/>
      <c r="F502" s="81"/>
      <c r="H502" s="156"/>
      <c r="N502" s="2"/>
    </row>
    <row r="503" spans="2:14" ht="15.75" customHeight="1" x14ac:dyDescent="0.2">
      <c r="B503" s="7"/>
      <c r="F503" s="81"/>
      <c r="H503" s="156"/>
      <c r="N503" s="2"/>
    </row>
    <row r="504" spans="2:14" ht="15.75" customHeight="1" x14ac:dyDescent="0.2">
      <c r="B504" s="7"/>
      <c r="F504" s="81"/>
      <c r="H504" s="156"/>
      <c r="N504" s="2"/>
    </row>
    <row r="505" spans="2:14" ht="15.75" customHeight="1" x14ac:dyDescent="0.2">
      <c r="B505" s="7"/>
      <c r="F505" s="81"/>
      <c r="H505" s="156"/>
      <c r="N505" s="2"/>
    </row>
    <row r="506" spans="2:14" ht="15.75" customHeight="1" x14ac:dyDescent="0.2">
      <c r="B506" s="7"/>
      <c r="F506" s="81"/>
      <c r="H506" s="156"/>
      <c r="N506" s="2"/>
    </row>
    <row r="507" spans="2:14" ht="15.75" customHeight="1" x14ac:dyDescent="0.2">
      <c r="B507" s="7"/>
      <c r="F507" s="81"/>
      <c r="H507" s="156"/>
      <c r="N507" s="2"/>
    </row>
    <row r="508" spans="2:14" ht="15.75" customHeight="1" x14ac:dyDescent="0.2">
      <c r="B508" s="7"/>
      <c r="F508" s="81"/>
      <c r="H508" s="156"/>
      <c r="N508" s="2"/>
    </row>
    <row r="509" spans="2:14" ht="15.75" customHeight="1" x14ac:dyDescent="0.2">
      <c r="B509" s="7"/>
      <c r="F509" s="81"/>
      <c r="H509" s="156"/>
      <c r="N509" s="2"/>
    </row>
    <row r="510" spans="2:14" ht="15.75" customHeight="1" x14ac:dyDescent="0.2">
      <c r="B510" s="7"/>
      <c r="F510" s="81"/>
      <c r="H510" s="156"/>
      <c r="N510" s="2"/>
    </row>
    <row r="511" spans="2:14" ht="15.75" customHeight="1" x14ac:dyDescent="0.2">
      <c r="B511" s="7"/>
      <c r="F511" s="81"/>
      <c r="H511" s="156"/>
      <c r="N511" s="2"/>
    </row>
    <row r="512" spans="2:14" ht="15.75" customHeight="1" x14ac:dyDescent="0.2">
      <c r="B512" s="7"/>
      <c r="F512" s="81"/>
      <c r="H512" s="156"/>
      <c r="N512" s="2"/>
    </row>
    <row r="513" spans="2:14" ht="15.75" customHeight="1" x14ac:dyDescent="0.2">
      <c r="B513" s="7"/>
      <c r="F513" s="81"/>
      <c r="H513" s="156"/>
      <c r="N513" s="2"/>
    </row>
    <row r="514" spans="2:14" ht="15.75" customHeight="1" x14ac:dyDescent="0.2">
      <c r="B514" s="7"/>
      <c r="F514" s="81"/>
      <c r="H514" s="156"/>
      <c r="N514" s="2"/>
    </row>
    <row r="515" spans="2:14" ht="15.75" customHeight="1" x14ac:dyDescent="0.2">
      <c r="B515" s="7"/>
      <c r="F515" s="81"/>
      <c r="H515" s="156"/>
      <c r="N515" s="2"/>
    </row>
    <row r="516" spans="2:14" ht="15.75" customHeight="1" x14ac:dyDescent="0.2">
      <c r="B516" s="7"/>
      <c r="F516" s="81"/>
      <c r="H516" s="156"/>
      <c r="N516" s="2"/>
    </row>
    <row r="517" spans="2:14" ht="15.75" customHeight="1" x14ac:dyDescent="0.2">
      <c r="B517" s="7"/>
      <c r="F517" s="81"/>
      <c r="H517" s="156"/>
      <c r="N517" s="2"/>
    </row>
    <row r="518" spans="2:14" ht="15.75" customHeight="1" x14ac:dyDescent="0.2">
      <c r="B518" s="7"/>
      <c r="F518" s="81"/>
      <c r="H518" s="156"/>
      <c r="N518" s="2"/>
    </row>
    <row r="519" spans="2:14" ht="15.75" customHeight="1" x14ac:dyDescent="0.2">
      <c r="B519" s="7"/>
      <c r="F519" s="81"/>
      <c r="H519" s="156"/>
      <c r="N519" s="2"/>
    </row>
    <row r="520" spans="2:14" ht="15.75" customHeight="1" x14ac:dyDescent="0.2">
      <c r="B520" s="7"/>
      <c r="F520" s="81"/>
      <c r="H520" s="156"/>
      <c r="N520" s="2"/>
    </row>
    <row r="521" spans="2:14" ht="15.75" customHeight="1" x14ac:dyDescent="0.2">
      <c r="B521" s="7"/>
      <c r="F521" s="81"/>
      <c r="H521" s="156"/>
      <c r="N521" s="2"/>
    </row>
    <row r="522" spans="2:14" ht="15.75" customHeight="1" x14ac:dyDescent="0.2">
      <c r="B522" s="7"/>
      <c r="F522" s="81"/>
      <c r="H522" s="156"/>
      <c r="N522" s="2"/>
    </row>
    <row r="523" spans="2:14" ht="15.75" customHeight="1" x14ac:dyDescent="0.2">
      <c r="B523" s="7"/>
      <c r="F523" s="81"/>
      <c r="H523" s="156"/>
      <c r="N523" s="2"/>
    </row>
    <row r="524" spans="2:14" ht="15.75" customHeight="1" x14ac:dyDescent="0.2">
      <c r="B524" s="7"/>
      <c r="F524" s="81"/>
      <c r="H524" s="156"/>
      <c r="N524" s="2"/>
    </row>
    <row r="525" spans="2:14" ht="15.75" customHeight="1" x14ac:dyDescent="0.2">
      <c r="B525" s="7"/>
      <c r="F525" s="81"/>
      <c r="H525" s="156"/>
      <c r="N525" s="2"/>
    </row>
    <row r="526" spans="2:14" ht="15.75" customHeight="1" x14ac:dyDescent="0.2">
      <c r="B526" s="7"/>
      <c r="F526" s="81"/>
      <c r="H526" s="156"/>
      <c r="N526" s="2"/>
    </row>
    <row r="527" spans="2:14" ht="15.75" customHeight="1" x14ac:dyDescent="0.2">
      <c r="B527" s="7"/>
      <c r="F527" s="81"/>
      <c r="H527" s="156"/>
      <c r="N527" s="2"/>
    </row>
    <row r="528" spans="2:14" ht="15.75" customHeight="1" x14ac:dyDescent="0.2">
      <c r="B528" s="7"/>
      <c r="F528" s="81"/>
      <c r="H528" s="156"/>
      <c r="N528" s="2"/>
    </row>
    <row r="529" spans="2:14" ht="15.75" customHeight="1" x14ac:dyDescent="0.2">
      <c r="B529" s="7"/>
      <c r="F529" s="81"/>
      <c r="H529" s="156"/>
      <c r="N529" s="2"/>
    </row>
    <row r="530" spans="2:14" ht="15.75" customHeight="1" x14ac:dyDescent="0.2">
      <c r="B530" s="7"/>
      <c r="F530" s="81"/>
      <c r="H530" s="156"/>
      <c r="N530" s="2"/>
    </row>
    <row r="531" spans="2:14" ht="15.75" customHeight="1" x14ac:dyDescent="0.2">
      <c r="B531" s="7"/>
      <c r="F531" s="81"/>
      <c r="H531" s="156"/>
      <c r="N531" s="2"/>
    </row>
    <row r="532" spans="2:14" ht="15.75" customHeight="1" x14ac:dyDescent="0.2">
      <c r="B532" s="7"/>
      <c r="F532" s="81"/>
      <c r="H532" s="156"/>
      <c r="N532" s="2"/>
    </row>
    <row r="533" spans="2:14" ht="15.75" customHeight="1" x14ac:dyDescent="0.2">
      <c r="B533" s="7"/>
      <c r="F533" s="81"/>
      <c r="H533" s="156"/>
      <c r="N533" s="2"/>
    </row>
    <row r="534" spans="2:14" ht="15.75" customHeight="1" x14ac:dyDescent="0.2">
      <c r="B534" s="7"/>
      <c r="F534" s="81"/>
      <c r="H534" s="156"/>
      <c r="N534" s="2"/>
    </row>
    <row r="535" spans="2:14" ht="15.75" customHeight="1" x14ac:dyDescent="0.2">
      <c r="B535" s="7"/>
      <c r="F535" s="81"/>
      <c r="H535" s="156"/>
      <c r="N535" s="2"/>
    </row>
    <row r="536" spans="2:14" ht="15.75" customHeight="1" x14ac:dyDescent="0.2">
      <c r="B536" s="7"/>
      <c r="F536" s="81"/>
      <c r="H536" s="156"/>
      <c r="N536" s="2"/>
    </row>
    <row r="537" spans="2:14" ht="15.75" customHeight="1" x14ac:dyDescent="0.2">
      <c r="B537" s="7"/>
      <c r="F537" s="81"/>
      <c r="H537" s="156"/>
      <c r="N537" s="2"/>
    </row>
    <row r="538" spans="2:14" ht="15.75" customHeight="1" x14ac:dyDescent="0.2">
      <c r="B538" s="7"/>
      <c r="F538" s="81"/>
      <c r="H538" s="156"/>
      <c r="N538" s="2"/>
    </row>
    <row r="539" spans="2:14" ht="15.75" customHeight="1" x14ac:dyDescent="0.2">
      <c r="B539" s="7"/>
      <c r="F539" s="81"/>
      <c r="H539" s="156"/>
      <c r="N539" s="2"/>
    </row>
    <row r="540" spans="2:14" ht="15.75" customHeight="1" x14ac:dyDescent="0.2">
      <c r="B540" s="7"/>
      <c r="F540" s="81"/>
      <c r="H540" s="156"/>
      <c r="N540" s="2"/>
    </row>
    <row r="541" spans="2:14" ht="15.75" customHeight="1" x14ac:dyDescent="0.2">
      <c r="B541" s="7"/>
      <c r="F541" s="81"/>
      <c r="H541" s="156"/>
      <c r="N541" s="2"/>
    </row>
    <row r="542" spans="2:14" ht="15.75" customHeight="1" x14ac:dyDescent="0.2">
      <c r="B542" s="7"/>
      <c r="F542" s="81"/>
      <c r="H542" s="156"/>
      <c r="N542" s="2"/>
    </row>
    <row r="543" spans="2:14" ht="15.75" customHeight="1" x14ac:dyDescent="0.2">
      <c r="B543" s="7"/>
      <c r="F543" s="81"/>
      <c r="H543" s="156"/>
      <c r="N543" s="2"/>
    </row>
    <row r="544" spans="2:14" ht="15.75" customHeight="1" x14ac:dyDescent="0.2">
      <c r="B544" s="7"/>
      <c r="F544" s="81"/>
      <c r="H544" s="156"/>
      <c r="N544" s="2"/>
    </row>
    <row r="545" spans="2:14" ht="15.75" customHeight="1" x14ac:dyDescent="0.2">
      <c r="B545" s="7"/>
      <c r="F545" s="81"/>
      <c r="H545" s="156"/>
      <c r="N545" s="2"/>
    </row>
    <row r="546" spans="2:14" ht="15.75" customHeight="1" x14ac:dyDescent="0.2">
      <c r="B546" s="7"/>
      <c r="F546" s="81"/>
      <c r="H546" s="156"/>
      <c r="N546" s="2"/>
    </row>
    <row r="547" spans="2:14" ht="15.75" customHeight="1" x14ac:dyDescent="0.2">
      <c r="B547" s="7"/>
      <c r="F547" s="81"/>
      <c r="H547" s="156"/>
      <c r="N547" s="2"/>
    </row>
    <row r="548" spans="2:14" ht="15.75" customHeight="1" x14ac:dyDescent="0.2">
      <c r="B548" s="7"/>
      <c r="F548" s="81"/>
      <c r="H548" s="156"/>
      <c r="N548" s="2"/>
    </row>
    <row r="549" spans="2:14" ht="15.75" customHeight="1" x14ac:dyDescent="0.2">
      <c r="B549" s="7"/>
      <c r="F549" s="81"/>
      <c r="H549" s="156"/>
      <c r="N549" s="2"/>
    </row>
    <row r="550" spans="2:14" ht="15.75" customHeight="1" x14ac:dyDescent="0.2">
      <c r="B550" s="7"/>
      <c r="F550" s="81"/>
      <c r="H550" s="156"/>
      <c r="N550" s="2"/>
    </row>
    <row r="551" spans="2:14" ht="15.75" customHeight="1" x14ac:dyDescent="0.2">
      <c r="B551" s="7"/>
      <c r="F551" s="81"/>
      <c r="H551" s="156"/>
      <c r="N551" s="2"/>
    </row>
    <row r="552" spans="2:14" ht="15.75" customHeight="1" x14ac:dyDescent="0.2">
      <c r="B552" s="7"/>
      <c r="F552" s="81"/>
      <c r="H552" s="156"/>
      <c r="N552" s="2"/>
    </row>
    <row r="553" spans="2:14" ht="15.75" customHeight="1" x14ac:dyDescent="0.2">
      <c r="B553" s="7"/>
      <c r="F553" s="81"/>
      <c r="H553" s="156"/>
      <c r="N553" s="2"/>
    </row>
    <row r="554" spans="2:14" ht="15.75" customHeight="1" x14ac:dyDescent="0.2">
      <c r="B554" s="7"/>
      <c r="F554" s="81"/>
      <c r="H554" s="156"/>
      <c r="N554" s="2"/>
    </row>
    <row r="555" spans="2:14" ht="15.75" customHeight="1" x14ac:dyDescent="0.2">
      <c r="B555" s="7"/>
      <c r="F555" s="81"/>
      <c r="H555" s="156"/>
      <c r="N555" s="2"/>
    </row>
    <row r="556" spans="2:14" ht="15.75" customHeight="1" x14ac:dyDescent="0.2">
      <c r="B556" s="7"/>
      <c r="F556" s="81"/>
      <c r="H556" s="156"/>
      <c r="N556" s="2"/>
    </row>
    <row r="557" spans="2:14" ht="15.75" customHeight="1" x14ac:dyDescent="0.2">
      <c r="B557" s="7"/>
      <c r="F557" s="81"/>
      <c r="H557" s="156"/>
      <c r="N557" s="2"/>
    </row>
    <row r="558" spans="2:14" ht="15.75" customHeight="1" x14ac:dyDescent="0.2">
      <c r="B558" s="7"/>
      <c r="F558" s="81"/>
      <c r="H558" s="156"/>
      <c r="N558" s="2"/>
    </row>
    <row r="559" spans="2:14" ht="15.75" customHeight="1" x14ac:dyDescent="0.2">
      <c r="B559" s="7"/>
      <c r="F559" s="81"/>
      <c r="H559" s="156"/>
      <c r="N559" s="2"/>
    </row>
    <row r="560" spans="2:14" ht="15.75" customHeight="1" x14ac:dyDescent="0.2">
      <c r="B560" s="7"/>
      <c r="F560" s="81"/>
      <c r="H560" s="156"/>
      <c r="N560" s="2"/>
    </row>
    <row r="561" spans="2:14" ht="15.75" customHeight="1" x14ac:dyDescent="0.2">
      <c r="B561" s="7"/>
      <c r="F561" s="81"/>
      <c r="H561" s="156"/>
      <c r="N561" s="2"/>
    </row>
    <row r="562" spans="2:14" ht="15.75" customHeight="1" x14ac:dyDescent="0.2">
      <c r="B562" s="7"/>
      <c r="F562" s="81"/>
      <c r="H562" s="156"/>
      <c r="N562" s="2"/>
    </row>
    <row r="563" spans="2:14" ht="15.75" customHeight="1" x14ac:dyDescent="0.2">
      <c r="B563" s="7"/>
      <c r="F563" s="81"/>
      <c r="H563" s="156"/>
      <c r="N563" s="2"/>
    </row>
    <row r="564" spans="2:14" ht="15.75" customHeight="1" x14ac:dyDescent="0.2">
      <c r="B564" s="7"/>
      <c r="F564" s="81"/>
      <c r="H564" s="156"/>
      <c r="N564" s="2"/>
    </row>
    <row r="565" spans="2:14" ht="15.75" customHeight="1" x14ac:dyDescent="0.2">
      <c r="B565" s="7"/>
      <c r="F565" s="81"/>
      <c r="H565" s="156"/>
      <c r="N565" s="2"/>
    </row>
    <row r="566" spans="2:14" ht="15.75" customHeight="1" x14ac:dyDescent="0.2">
      <c r="B566" s="7"/>
      <c r="F566" s="81"/>
      <c r="H566" s="156"/>
      <c r="N566" s="2"/>
    </row>
    <row r="567" spans="2:14" ht="15.75" customHeight="1" x14ac:dyDescent="0.2">
      <c r="B567" s="7"/>
      <c r="F567" s="81"/>
      <c r="H567" s="156"/>
      <c r="N567" s="2"/>
    </row>
    <row r="568" spans="2:14" ht="15.75" customHeight="1" x14ac:dyDescent="0.2">
      <c r="B568" s="7"/>
      <c r="F568" s="81"/>
      <c r="H568" s="156"/>
      <c r="N568" s="2"/>
    </row>
    <row r="569" spans="2:14" ht="15.75" customHeight="1" x14ac:dyDescent="0.2">
      <c r="B569" s="7"/>
      <c r="F569" s="81"/>
      <c r="H569" s="156"/>
      <c r="N569" s="2"/>
    </row>
    <row r="570" spans="2:14" ht="15.75" customHeight="1" x14ac:dyDescent="0.2">
      <c r="B570" s="7"/>
      <c r="F570" s="81"/>
      <c r="H570" s="156"/>
      <c r="N570" s="2"/>
    </row>
    <row r="571" spans="2:14" ht="15.75" customHeight="1" x14ac:dyDescent="0.2">
      <c r="B571" s="7"/>
      <c r="F571" s="81"/>
      <c r="H571" s="156"/>
      <c r="N571" s="2"/>
    </row>
    <row r="572" spans="2:14" ht="15.75" customHeight="1" x14ac:dyDescent="0.2">
      <c r="B572" s="7"/>
      <c r="F572" s="81"/>
      <c r="H572" s="156"/>
      <c r="N572" s="2"/>
    </row>
    <row r="573" spans="2:14" ht="15.75" customHeight="1" x14ac:dyDescent="0.2">
      <c r="B573" s="7"/>
      <c r="F573" s="81"/>
      <c r="H573" s="156"/>
      <c r="N573" s="2"/>
    </row>
    <row r="574" spans="2:14" ht="15.75" customHeight="1" x14ac:dyDescent="0.2">
      <c r="B574" s="7"/>
      <c r="F574" s="81"/>
      <c r="H574" s="156"/>
      <c r="N574" s="2"/>
    </row>
    <row r="575" spans="2:14" ht="15.75" customHeight="1" x14ac:dyDescent="0.2">
      <c r="B575" s="7"/>
      <c r="F575" s="81"/>
      <c r="H575" s="156"/>
      <c r="N575" s="2"/>
    </row>
    <row r="576" spans="2:14" ht="15.75" customHeight="1" x14ac:dyDescent="0.2">
      <c r="B576" s="7"/>
      <c r="F576" s="81"/>
      <c r="H576" s="156"/>
      <c r="N576" s="2"/>
    </row>
    <row r="577" spans="2:14" ht="15.75" customHeight="1" x14ac:dyDescent="0.2">
      <c r="B577" s="7"/>
      <c r="F577" s="81"/>
      <c r="H577" s="156"/>
      <c r="N577" s="2"/>
    </row>
    <row r="578" spans="2:14" ht="15.75" customHeight="1" x14ac:dyDescent="0.2">
      <c r="B578" s="7"/>
      <c r="F578" s="81"/>
      <c r="H578" s="156"/>
      <c r="N578" s="2"/>
    </row>
    <row r="579" spans="2:14" ht="15.75" customHeight="1" x14ac:dyDescent="0.2">
      <c r="B579" s="7"/>
      <c r="F579" s="81"/>
      <c r="H579" s="156"/>
      <c r="N579" s="2"/>
    </row>
    <row r="580" spans="2:14" ht="15.75" customHeight="1" x14ac:dyDescent="0.2">
      <c r="B580" s="7"/>
      <c r="F580" s="81"/>
      <c r="H580" s="156"/>
      <c r="N580" s="2"/>
    </row>
    <row r="581" spans="2:14" ht="15.75" customHeight="1" x14ac:dyDescent="0.2">
      <c r="B581" s="7"/>
      <c r="F581" s="81"/>
      <c r="H581" s="156"/>
      <c r="N581" s="2"/>
    </row>
    <row r="582" spans="2:14" ht="15.75" customHeight="1" x14ac:dyDescent="0.2">
      <c r="B582" s="7"/>
      <c r="F582" s="81"/>
      <c r="H582" s="156"/>
      <c r="N582" s="2"/>
    </row>
    <row r="583" spans="2:14" ht="15.75" customHeight="1" x14ac:dyDescent="0.2">
      <c r="B583" s="7"/>
      <c r="F583" s="81"/>
      <c r="H583" s="156"/>
      <c r="N583" s="2"/>
    </row>
    <row r="584" spans="2:14" ht="15.75" customHeight="1" x14ac:dyDescent="0.2">
      <c r="B584" s="7"/>
      <c r="F584" s="81"/>
      <c r="H584" s="156"/>
      <c r="N584" s="2"/>
    </row>
    <row r="585" spans="2:14" ht="15.75" customHeight="1" x14ac:dyDescent="0.2">
      <c r="B585" s="7"/>
      <c r="F585" s="81"/>
      <c r="H585" s="156"/>
      <c r="N585" s="2"/>
    </row>
    <row r="586" spans="2:14" ht="15.75" customHeight="1" x14ac:dyDescent="0.2">
      <c r="B586" s="7"/>
      <c r="F586" s="81"/>
      <c r="H586" s="156"/>
      <c r="N586" s="2"/>
    </row>
    <row r="587" spans="2:14" ht="15.75" customHeight="1" x14ac:dyDescent="0.2">
      <c r="B587" s="7"/>
      <c r="F587" s="81"/>
      <c r="H587" s="156"/>
      <c r="N587" s="2"/>
    </row>
    <row r="588" spans="2:14" ht="15.75" customHeight="1" x14ac:dyDescent="0.2">
      <c r="B588" s="7"/>
      <c r="F588" s="81"/>
      <c r="H588" s="156"/>
      <c r="N588" s="2"/>
    </row>
    <row r="589" spans="2:14" ht="15.75" customHeight="1" x14ac:dyDescent="0.2">
      <c r="B589" s="7"/>
      <c r="F589" s="81"/>
      <c r="H589" s="156"/>
      <c r="N589" s="2"/>
    </row>
    <row r="590" spans="2:14" ht="15.75" customHeight="1" x14ac:dyDescent="0.2">
      <c r="B590" s="7"/>
      <c r="F590" s="81"/>
      <c r="H590" s="156"/>
      <c r="N590" s="2"/>
    </row>
    <row r="591" spans="2:14" ht="15.75" customHeight="1" x14ac:dyDescent="0.2">
      <c r="B591" s="7"/>
      <c r="F591" s="81"/>
      <c r="H591" s="156"/>
      <c r="N591" s="2"/>
    </row>
    <row r="592" spans="2:14" ht="15.75" customHeight="1" x14ac:dyDescent="0.2">
      <c r="B592" s="7"/>
      <c r="F592" s="81"/>
      <c r="H592" s="156"/>
      <c r="N592" s="2"/>
    </row>
    <row r="593" spans="2:14" ht="15.75" customHeight="1" x14ac:dyDescent="0.2">
      <c r="B593" s="7"/>
      <c r="F593" s="81"/>
      <c r="H593" s="156"/>
      <c r="N593" s="2"/>
    </row>
    <row r="594" spans="2:14" ht="15.75" customHeight="1" x14ac:dyDescent="0.2">
      <c r="B594" s="7"/>
      <c r="F594" s="81"/>
      <c r="H594" s="156"/>
      <c r="N594" s="2"/>
    </row>
    <row r="595" spans="2:14" ht="15.75" customHeight="1" x14ac:dyDescent="0.2">
      <c r="B595" s="7"/>
      <c r="F595" s="81"/>
      <c r="H595" s="156"/>
      <c r="N595" s="2"/>
    </row>
    <row r="596" spans="2:14" ht="15.75" customHeight="1" x14ac:dyDescent="0.2">
      <c r="B596" s="7"/>
      <c r="F596" s="81"/>
      <c r="H596" s="156"/>
      <c r="N596" s="2"/>
    </row>
    <row r="597" spans="2:14" ht="15.75" customHeight="1" x14ac:dyDescent="0.2">
      <c r="B597" s="7"/>
      <c r="F597" s="81"/>
      <c r="H597" s="156"/>
      <c r="N597" s="2"/>
    </row>
    <row r="598" spans="2:14" ht="15.75" customHeight="1" x14ac:dyDescent="0.2">
      <c r="B598" s="7"/>
      <c r="F598" s="81"/>
      <c r="H598" s="156"/>
      <c r="N598" s="2"/>
    </row>
    <row r="599" spans="2:14" ht="15.75" customHeight="1" x14ac:dyDescent="0.2">
      <c r="B599" s="7"/>
      <c r="F599" s="81"/>
      <c r="H599" s="156"/>
      <c r="N599" s="2"/>
    </row>
    <row r="600" spans="2:14" ht="15.75" customHeight="1" x14ac:dyDescent="0.2">
      <c r="B600" s="7"/>
      <c r="F600" s="81"/>
      <c r="H600" s="156"/>
      <c r="N600" s="2"/>
    </row>
    <row r="601" spans="2:14" ht="15.75" customHeight="1" x14ac:dyDescent="0.2">
      <c r="B601" s="7"/>
      <c r="F601" s="81"/>
      <c r="H601" s="156"/>
      <c r="N601" s="2"/>
    </row>
    <row r="602" spans="2:14" ht="15.75" customHeight="1" x14ac:dyDescent="0.2">
      <c r="B602" s="7"/>
      <c r="F602" s="81"/>
      <c r="H602" s="156"/>
      <c r="N602" s="2"/>
    </row>
    <row r="603" spans="2:14" ht="15.75" customHeight="1" x14ac:dyDescent="0.2">
      <c r="B603" s="7"/>
      <c r="F603" s="81"/>
      <c r="H603" s="156"/>
      <c r="N603" s="2"/>
    </row>
    <row r="604" spans="2:14" ht="15.75" customHeight="1" x14ac:dyDescent="0.2">
      <c r="B604" s="7"/>
      <c r="F604" s="81"/>
      <c r="H604" s="156"/>
      <c r="N604" s="2"/>
    </row>
    <row r="605" spans="2:14" ht="15.75" customHeight="1" x14ac:dyDescent="0.2">
      <c r="B605" s="7"/>
      <c r="F605" s="81"/>
      <c r="H605" s="156"/>
      <c r="N605" s="2"/>
    </row>
    <row r="606" spans="2:14" ht="15.75" customHeight="1" x14ac:dyDescent="0.2">
      <c r="B606" s="7"/>
      <c r="F606" s="81"/>
      <c r="H606" s="156"/>
      <c r="N606" s="2"/>
    </row>
    <row r="607" spans="2:14" ht="15.75" customHeight="1" x14ac:dyDescent="0.2">
      <c r="B607" s="7"/>
      <c r="F607" s="81"/>
      <c r="H607" s="156"/>
      <c r="N607" s="2"/>
    </row>
    <row r="608" spans="2:14" ht="15.75" customHeight="1" x14ac:dyDescent="0.2">
      <c r="B608" s="7"/>
      <c r="F608" s="81"/>
      <c r="H608" s="156"/>
      <c r="N608" s="2"/>
    </row>
    <row r="609" spans="2:14" ht="15.75" customHeight="1" x14ac:dyDescent="0.2">
      <c r="B609" s="7"/>
      <c r="F609" s="81"/>
      <c r="H609" s="156"/>
      <c r="N609" s="2"/>
    </row>
    <row r="610" spans="2:14" ht="15.75" customHeight="1" x14ac:dyDescent="0.2">
      <c r="B610" s="7"/>
      <c r="F610" s="81"/>
      <c r="H610" s="156"/>
      <c r="N610" s="2"/>
    </row>
    <row r="611" spans="2:14" ht="15.75" customHeight="1" x14ac:dyDescent="0.2">
      <c r="B611" s="7"/>
      <c r="F611" s="81"/>
      <c r="H611" s="156"/>
      <c r="N611" s="2"/>
    </row>
    <row r="612" spans="2:14" ht="15.75" customHeight="1" x14ac:dyDescent="0.2">
      <c r="B612" s="7"/>
      <c r="F612" s="81"/>
      <c r="H612" s="156"/>
      <c r="N612" s="2"/>
    </row>
    <row r="613" spans="2:14" ht="15.75" customHeight="1" x14ac:dyDescent="0.2">
      <c r="B613" s="7"/>
      <c r="F613" s="81"/>
      <c r="H613" s="156"/>
      <c r="N613" s="2"/>
    </row>
    <row r="614" spans="2:14" ht="15.75" customHeight="1" x14ac:dyDescent="0.2">
      <c r="B614" s="7"/>
      <c r="F614" s="81"/>
      <c r="H614" s="156"/>
      <c r="N614" s="2"/>
    </row>
    <row r="615" spans="2:14" ht="15.75" customHeight="1" x14ac:dyDescent="0.2">
      <c r="B615" s="7"/>
      <c r="F615" s="81"/>
      <c r="H615" s="156"/>
      <c r="N615" s="2"/>
    </row>
    <row r="616" spans="2:14" ht="15.75" customHeight="1" x14ac:dyDescent="0.2">
      <c r="B616" s="7"/>
      <c r="F616" s="81"/>
      <c r="H616" s="156"/>
      <c r="N616" s="2"/>
    </row>
    <row r="617" spans="2:14" ht="15.75" customHeight="1" x14ac:dyDescent="0.2">
      <c r="B617" s="7"/>
      <c r="F617" s="81"/>
      <c r="H617" s="156"/>
      <c r="N617" s="2"/>
    </row>
    <row r="618" spans="2:14" ht="15.75" customHeight="1" x14ac:dyDescent="0.2">
      <c r="B618" s="7"/>
      <c r="F618" s="81"/>
      <c r="H618" s="156"/>
      <c r="N618" s="2"/>
    </row>
    <row r="619" spans="2:14" ht="15.75" customHeight="1" x14ac:dyDescent="0.2">
      <c r="B619" s="7"/>
      <c r="F619" s="81"/>
      <c r="H619" s="156"/>
      <c r="N619" s="2"/>
    </row>
    <row r="620" spans="2:14" ht="15.75" customHeight="1" x14ac:dyDescent="0.2">
      <c r="B620" s="7"/>
      <c r="F620" s="81"/>
      <c r="H620" s="156"/>
      <c r="N620" s="2"/>
    </row>
    <row r="621" spans="2:14" ht="15.75" customHeight="1" x14ac:dyDescent="0.2">
      <c r="B621" s="7"/>
      <c r="F621" s="81"/>
      <c r="H621" s="156"/>
      <c r="N621" s="2"/>
    </row>
    <row r="622" spans="2:14" ht="15.75" customHeight="1" x14ac:dyDescent="0.2">
      <c r="B622" s="7"/>
      <c r="F622" s="81"/>
      <c r="H622" s="156"/>
      <c r="N622" s="2"/>
    </row>
    <row r="623" spans="2:14" ht="15.75" customHeight="1" x14ac:dyDescent="0.2">
      <c r="B623" s="7"/>
      <c r="F623" s="81"/>
      <c r="H623" s="156"/>
      <c r="N623" s="2"/>
    </row>
    <row r="624" spans="2:14" ht="15.75" customHeight="1" x14ac:dyDescent="0.2">
      <c r="B624" s="7"/>
      <c r="F624" s="81"/>
      <c r="H624" s="156"/>
      <c r="N624" s="2"/>
    </row>
    <row r="625" spans="2:14" ht="15.75" customHeight="1" x14ac:dyDescent="0.2">
      <c r="B625" s="7"/>
      <c r="F625" s="81"/>
      <c r="H625" s="156"/>
      <c r="N625" s="2"/>
    </row>
    <row r="626" spans="2:14" ht="15.75" customHeight="1" x14ac:dyDescent="0.2">
      <c r="B626" s="7"/>
      <c r="F626" s="81"/>
      <c r="H626" s="156"/>
      <c r="N626" s="2"/>
    </row>
    <row r="627" spans="2:14" ht="15.75" customHeight="1" x14ac:dyDescent="0.2">
      <c r="B627" s="7"/>
      <c r="F627" s="81"/>
      <c r="H627" s="156"/>
      <c r="N627" s="2"/>
    </row>
    <row r="628" spans="2:14" ht="15.75" customHeight="1" x14ac:dyDescent="0.2">
      <c r="B628" s="7"/>
      <c r="F628" s="81"/>
      <c r="H628" s="156"/>
      <c r="N628" s="2"/>
    </row>
    <row r="629" spans="2:14" ht="15.75" customHeight="1" x14ac:dyDescent="0.2">
      <c r="B629" s="7"/>
      <c r="F629" s="81"/>
      <c r="H629" s="156"/>
      <c r="N629" s="2"/>
    </row>
    <row r="630" spans="2:14" ht="15.75" customHeight="1" x14ac:dyDescent="0.2">
      <c r="B630" s="7"/>
      <c r="F630" s="81"/>
      <c r="H630" s="156"/>
      <c r="N630" s="2"/>
    </row>
    <row r="631" spans="2:14" ht="15.75" customHeight="1" x14ac:dyDescent="0.2">
      <c r="B631" s="7"/>
      <c r="F631" s="81"/>
      <c r="H631" s="156"/>
      <c r="N631" s="2"/>
    </row>
    <row r="632" spans="2:14" ht="15.75" customHeight="1" x14ac:dyDescent="0.2">
      <c r="B632" s="7"/>
      <c r="F632" s="81"/>
      <c r="H632" s="156"/>
      <c r="N632" s="2"/>
    </row>
    <row r="633" spans="2:14" ht="15.75" customHeight="1" x14ac:dyDescent="0.2">
      <c r="B633" s="7"/>
      <c r="F633" s="81"/>
      <c r="H633" s="156"/>
      <c r="N633" s="2"/>
    </row>
    <row r="634" spans="2:14" ht="15.75" customHeight="1" x14ac:dyDescent="0.2">
      <c r="B634" s="7"/>
      <c r="F634" s="81"/>
      <c r="H634" s="156"/>
      <c r="N634" s="2"/>
    </row>
    <row r="635" spans="2:14" ht="15.75" customHeight="1" x14ac:dyDescent="0.2">
      <c r="B635" s="7"/>
      <c r="F635" s="81"/>
      <c r="H635" s="156"/>
      <c r="N635" s="2"/>
    </row>
    <row r="636" spans="2:14" ht="15.75" customHeight="1" x14ac:dyDescent="0.2">
      <c r="B636" s="7"/>
      <c r="F636" s="81"/>
      <c r="H636" s="156"/>
      <c r="N636" s="2"/>
    </row>
    <row r="637" spans="2:14" ht="15.75" customHeight="1" x14ac:dyDescent="0.2">
      <c r="B637" s="7"/>
      <c r="F637" s="81"/>
      <c r="H637" s="156"/>
      <c r="N637" s="2"/>
    </row>
    <row r="638" spans="2:14" ht="15.75" customHeight="1" x14ac:dyDescent="0.2">
      <c r="B638" s="7"/>
      <c r="F638" s="81"/>
      <c r="H638" s="156"/>
      <c r="N638" s="2"/>
    </row>
    <row r="639" spans="2:14" ht="15.75" customHeight="1" x14ac:dyDescent="0.2">
      <c r="B639" s="7"/>
      <c r="F639" s="81"/>
      <c r="H639" s="156"/>
      <c r="N639" s="2"/>
    </row>
    <row r="640" spans="2:14" ht="15.75" customHeight="1" x14ac:dyDescent="0.2">
      <c r="B640" s="7"/>
      <c r="F640" s="81"/>
      <c r="H640" s="156"/>
      <c r="N640" s="2"/>
    </row>
    <row r="641" spans="2:14" ht="15.75" customHeight="1" x14ac:dyDescent="0.2">
      <c r="B641" s="7"/>
      <c r="F641" s="81"/>
      <c r="H641" s="156"/>
      <c r="N641" s="2"/>
    </row>
    <row r="642" spans="2:14" ht="15.75" customHeight="1" x14ac:dyDescent="0.2">
      <c r="B642" s="7"/>
      <c r="F642" s="81"/>
      <c r="H642" s="156"/>
      <c r="N642" s="2"/>
    </row>
    <row r="643" spans="2:14" ht="15.75" customHeight="1" x14ac:dyDescent="0.2">
      <c r="B643" s="7"/>
      <c r="F643" s="81"/>
      <c r="H643" s="156"/>
      <c r="N643" s="2"/>
    </row>
    <row r="644" spans="2:14" ht="15.75" customHeight="1" x14ac:dyDescent="0.2">
      <c r="B644" s="7"/>
      <c r="F644" s="81"/>
      <c r="H644" s="156"/>
      <c r="N644" s="2"/>
    </row>
    <row r="645" spans="2:14" ht="15.75" customHeight="1" x14ac:dyDescent="0.2">
      <c r="B645" s="7"/>
      <c r="F645" s="81"/>
      <c r="H645" s="156"/>
      <c r="N645" s="2"/>
    </row>
    <row r="646" spans="2:14" ht="15.75" customHeight="1" x14ac:dyDescent="0.2">
      <c r="B646" s="7"/>
      <c r="F646" s="81"/>
      <c r="H646" s="156"/>
      <c r="N646" s="2"/>
    </row>
    <row r="647" spans="2:14" ht="15.75" customHeight="1" x14ac:dyDescent="0.2">
      <c r="B647" s="7"/>
      <c r="F647" s="81"/>
      <c r="H647" s="156"/>
      <c r="N647" s="2"/>
    </row>
    <row r="648" spans="2:14" ht="15.75" customHeight="1" x14ac:dyDescent="0.2">
      <c r="B648" s="7"/>
      <c r="F648" s="81"/>
      <c r="H648" s="156"/>
      <c r="N648" s="2"/>
    </row>
    <row r="649" spans="2:14" ht="15.75" customHeight="1" x14ac:dyDescent="0.2">
      <c r="B649" s="7"/>
      <c r="F649" s="81"/>
      <c r="H649" s="156"/>
      <c r="N649" s="2"/>
    </row>
    <row r="650" spans="2:14" ht="15.75" customHeight="1" x14ac:dyDescent="0.2">
      <c r="B650" s="7"/>
      <c r="F650" s="81"/>
      <c r="H650" s="156"/>
      <c r="N650" s="2"/>
    </row>
    <row r="651" spans="2:14" ht="15.75" customHeight="1" x14ac:dyDescent="0.2">
      <c r="B651" s="7"/>
      <c r="F651" s="81"/>
      <c r="H651" s="156"/>
      <c r="N651" s="2"/>
    </row>
    <row r="652" spans="2:14" ht="15.75" customHeight="1" x14ac:dyDescent="0.2">
      <c r="B652" s="7"/>
      <c r="F652" s="81"/>
      <c r="H652" s="156"/>
      <c r="N652" s="2"/>
    </row>
    <row r="653" spans="2:14" ht="15.75" customHeight="1" x14ac:dyDescent="0.2">
      <c r="B653" s="7"/>
      <c r="F653" s="81"/>
      <c r="H653" s="156"/>
      <c r="N653" s="2"/>
    </row>
    <row r="654" spans="2:14" ht="15.75" customHeight="1" x14ac:dyDescent="0.2">
      <c r="B654" s="7"/>
      <c r="F654" s="81"/>
      <c r="H654" s="156"/>
      <c r="N654" s="2"/>
    </row>
    <row r="655" spans="2:14" ht="15.75" customHeight="1" x14ac:dyDescent="0.2">
      <c r="B655" s="7"/>
      <c r="F655" s="81"/>
      <c r="H655" s="156"/>
      <c r="N655" s="2"/>
    </row>
    <row r="656" spans="2:14" ht="15.75" customHeight="1" x14ac:dyDescent="0.2">
      <c r="B656" s="7"/>
      <c r="F656" s="81"/>
      <c r="H656" s="156"/>
      <c r="N656" s="2"/>
    </row>
    <row r="657" spans="2:14" ht="15.75" customHeight="1" x14ac:dyDescent="0.2">
      <c r="B657" s="7"/>
      <c r="F657" s="81"/>
      <c r="H657" s="156"/>
      <c r="N657" s="2"/>
    </row>
    <row r="658" spans="2:14" ht="15.75" customHeight="1" x14ac:dyDescent="0.2">
      <c r="B658" s="7"/>
      <c r="F658" s="81"/>
      <c r="H658" s="156"/>
      <c r="N658" s="2"/>
    </row>
    <row r="659" spans="2:14" ht="15.75" customHeight="1" x14ac:dyDescent="0.2">
      <c r="B659" s="7"/>
      <c r="F659" s="81"/>
      <c r="H659" s="156"/>
      <c r="N659" s="2"/>
    </row>
    <row r="660" spans="2:14" ht="15.75" customHeight="1" x14ac:dyDescent="0.2">
      <c r="B660" s="7"/>
      <c r="F660" s="81"/>
      <c r="H660" s="156"/>
      <c r="N660" s="2"/>
    </row>
    <row r="661" spans="2:14" ht="15.75" customHeight="1" x14ac:dyDescent="0.2">
      <c r="B661" s="7"/>
      <c r="F661" s="81"/>
      <c r="H661" s="156"/>
      <c r="N661" s="2"/>
    </row>
    <row r="662" spans="2:14" ht="15.75" customHeight="1" x14ac:dyDescent="0.2">
      <c r="B662" s="7"/>
      <c r="F662" s="81"/>
      <c r="H662" s="156"/>
      <c r="N662" s="2"/>
    </row>
    <row r="663" spans="2:14" ht="15.75" customHeight="1" x14ac:dyDescent="0.2">
      <c r="B663" s="7"/>
      <c r="F663" s="81"/>
      <c r="H663" s="156"/>
      <c r="N663" s="2"/>
    </row>
    <row r="664" spans="2:14" ht="15.75" customHeight="1" x14ac:dyDescent="0.2">
      <c r="B664" s="7"/>
      <c r="F664" s="81"/>
      <c r="H664" s="156"/>
      <c r="N664" s="2"/>
    </row>
    <row r="665" spans="2:14" ht="15.75" customHeight="1" x14ac:dyDescent="0.2">
      <c r="B665" s="7"/>
      <c r="F665" s="81"/>
      <c r="H665" s="156"/>
      <c r="N665" s="2"/>
    </row>
    <row r="666" spans="2:14" ht="15.75" customHeight="1" x14ac:dyDescent="0.2">
      <c r="B666" s="7"/>
      <c r="F666" s="81"/>
      <c r="H666" s="156"/>
      <c r="N666" s="2"/>
    </row>
    <row r="667" spans="2:14" ht="15.75" customHeight="1" x14ac:dyDescent="0.2">
      <c r="B667" s="7"/>
      <c r="F667" s="81"/>
      <c r="H667" s="156"/>
      <c r="N667" s="2"/>
    </row>
    <row r="668" spans="2:14" ht="15.75" customHeight="1" x14ac:dyDescent="0.2">
      <c r="B668" s="7"/>
      <c r="F668" s="81"/>
      <c r="H668" s="156"/>
      <c r="N668" s="2"/>
    </row>
    <row r="669" spans="2:14" ht="15.75" customHeight="1" x14ac:dyDescent="0.2">
      <c r="B669" s="7"/>
      <c r="F669" s="81"/>
      <c r="H669" s="156"/>
      <c r="N669" s="2"/>
    </row>
    <row r="670" spans="2:14" ht="15.75" customHeight="1" x14ac:dyDescent="0.2">
      <c r="B670" s="7"/>
      <c r="F670" s="81"/>
      <c r="H670" s="156"/>
      <c r="N670" s="2"/>
    </row>
    <row r="671" spans="2:14" ht="15.75" customHeight="1" x14ac:dyDescent="0.2">
      <c r="B671" s="7"/>
      <c r="F671" s="81"/>
      <c r="H671" s="156"/>
      <c r="N671" s="2"/>
    </row>
    <row r="672" spans="2:14" ht="15.75" customHeight="1" x14ac:dyDescent="0.2">
      <c r="B672" s="7"/>
      <c r="F672" s="81"/>
      <c r="H672" s="156"/>
      <c r="N672" s="2"/>
    </row>
    <row r="673" spans="2:14" ht="15.75" customHeight="1" x14ac:dyDescent="0.2">
      <c r="B673" s="7"/>
      <c r="F673" s="81"/>
      <c r="H673" s="156"/>
      <c r="N673" s="2"/>
    </row>
    <row r="674" spans="2:14" ht="15.75" customHeight="1" x14ac:dyDescent="0.2">
      <c r="B674" s="7"/>
      <c r="F674" s="81"/>
      <c r="H674" s="156"/>
      <c r="N674" s="2"/>
    </row>
    <row r="675" spans="2:14" ht="15.75" customHeight="1" x14ac:dyDescent="0.2">
      <c r="B675" s="7"/>
      <c r="F675" s="81"/>
      <c r="H675" s="156"/>
      <c r="N675" s="2"/>
    </row>
    <row r="676" spans="2:14" ht="15.75" customHeight="1" x14ac:dyDescent="0.2">
      <c r="B676" s="7"/>
      <c r="F676" s="81"/>
      <c r="H676" s="156"/>
      <c r="N676" s="2"/>
    </row>
    <row r="677" spans="2:14" ht="15.75" customHeight="1" x14ac:dyDescent="0.2">
      <c r="B677" s="7"/>
      <c r="F677" s="81"/>
      <c r="H677" s="156"/>
      <c r="N677" s="2"/>
    </row>
    <row r="678" spans="2:14" ht="15.75" customHeight="1" x14ac:dyDescent="0.2">
      <c r="B678" s="7"/>
      <c r="F678" s="81"/>
      <c r="H678" s="156"/>
      <c r="N678" s="2"/>
    </row>
    <row r="679" spans="2:14" ht="15.75" customHeight="1" x14ac:dyDescent="0.2">
      <c r="B679" s="7"/>
      <c r="F679" s="81"/>
      <c r="H679" s="156"/>
      <c r="N679" s="2"/>
    </row>
    <row r="680" spans="2:14" ht="15.75" customHeight="1" x14ac:dyDescent="0.2">
      <c r="B680" s="7"/>
      <c r="F680" s="81"/>
      <c r="H680" s="156"/>
      <c r="N680" s="2"/>
    </row>
    <row r="681" spans="2:14" ht="15.75" customHeight="1" x14ac:dyDescent="0.2">
      <c r="B681" s="7"/>
      <c r="F681" s="81"/>
      <c r="H681" s="156"/>
      <c r="N681" s="2"/>
    </row>
    <row r="682" spans="2:14" ht="15.75" customHeight="1" x14ac:dyDescent="0.2">
      <c r="B682" s="7"/>
      <c r="F682" s="81"/>
      <c r="H682" s="156"/>
      <c r="N682" s="2"/>
    </row>
    <row r="683" spans="2:14" ht="15.75" customHeight="1" x14ac:dyDescent="0.2">
      <c r="B683" s="7"/>
      <c r="F683" s="81"/>
      <c r="H683" s="156"/>
      <c r="N683" s="2"/>
    </row>
    <row r="684" spans="2:14" ht="15.75" customHeight="1" x14ac:dyDescent="0.2">
      <c r="B684" s="7"/>
      <c r="F684" s="81"/>
      <c r="H684" s="156"/>
      <c r="N684" s="2"/>
    </row>
    <row r="685" spans="2:14" ht="15.75" customHeight="1" x14ac:dyDescent="0.2">
      <c r="B685" s="7"/>
      <c r="F685" s="81"/>
      <c r="H685" s="156"/>
      <c r="N685" s="2"/>
    </row>
    <row r="686" spans="2:14" ht="15.75" customHeight="1" x14ac:dyDescent="0.2">
      <c r="B686" s="7"/>
      <c r="F686" s="81"/>
      <c r="H686" s="156"/>
      <c r="N686" s="2"/>
    </row>
    <row r="687" spans="2:14" ht="15.75" customHeight="1" x14ac:dyDescent="0.2">
      <c r="B687" s="7"/>
      <c r="F687" s="81"/>
      <c r="H687" s="156"/>
      <c r="N687" s="2"/>
    </row>
    <row r="688" spans="2:14" ht="15.75" customHeight="1" x14ac:dyDescent="0.2">
      <c r="B688" s="7"/>
      <c r="F688" s="81"/>
      <c r="H688" s="156"/>
      <c r="N688" s="2"/>
    </row>
    <row r="689" spans="2:14" ht="15.75" customHeight="1" x14ac:dyDescent="0.2">
      <c r="B689" s="7"/>
      <c r="F689" s="81"/>
      <c r="H689" s="156"/>
      <c r="N689" s="2"/>
    </row>
    <row r="690" spans="2:14" ht="15.75" customHeight="1" x14ac:dyDescent="0.2">
      <c r="B690" s="7"/>
      <c r="F690" s="81"/>
      <c r="H690" s="156"/>
      <c r="N690" s="2"/>
    </row>
    <row r="691" spans="2:14" ht="15.75" customHeight="1" x14ac:dyDescent="0.2">
      <c r="B691" s="7"/>
      <c r="F691" s="81"/>
      <c r="H691" s="156"/>
      <c r="N691" s="2"/>
    </row>
    <row r="692" spans="2:14" ht="15.75" customHeight="1" x14ac:dyDescent="0.2">
      <c r="B692" s="7"/>
      <c r="F692" s="81"/>
      <c r="H692" s="156"/>
      <c r="N692" s="2"/>
    </row>
    <row r="693" spans="2:14" ht="15.75" customHeight="1" x14ac:dyDescent="0.2">
      <c r="B693" s="7"/>
      <c r="F693" s="81"/>
      <c r="H693" s="156"/>
      <c r="N693" s="2"/>
    </row>
    <row r="694" spans="2:14" ht="15.75" customHeight="1" x14ac:dyDescent="0.2">
      <c r="B694" s="7"/>
      <c r="F694" s="81"/>
      <c r="H694" s="156"/>
      <c r="N694" s="2"/>
    </row>
    <row r="695" spans="2:14" ht="15.75" customHeight="1" x14ac:dyDescent="0.2">
      <c r="B695" s="7"/>
      <c r="F695" s="81"/>
      <c r="H695" s="156"/>
      <c r="N695" s="2"/>
    </row>
    <row r="696" spans="2:14" ht="15.75" customHeight="1" x14ac:dyDescent="0.2">
      <c r="B696" s="7"/>
      <c r="F696" s="81"/>
      <c r="H696" s="156"/>
      <c r="N696" s="2"/>
    </row>
    <row r="697" spans="2:14" ht="15.75" customHeight="1" x14ac:dyDescent="0.2">
      <c r="B697" s="7"/>
      <c r="F697" s="81"/>
      <c r="H697" s="156"/>
      <c r="N697" s="2"/>
    </row>
    <row r="698" spans="2:14" ht="15.75" customHeight="1" x14ac:dyDescent="0.2">
      <c r="B698" s="7"/>
      <c r="F698" s="81"/>
      <c r="H698" s="156"/>
      <c r="N698" s="2"/>
    </row>
    <row r="699" spans="2:14" ht="15.75" customHeight="1" x14ac:dyDescent="0.2">
      <c r="B699" s="7"/>
      <c r="F699" s="81"/>
      <c r="H699" s="156"/>
      <c r="N699" s="2"/>
    </row>
    <row r="700" spans="2:14" ht="15.75" customHeight="1" x14ac:dyDescent="0.2">
      <c r="B700" s="7"/>
      <c r="F700" s="81"/>
      <c r="H700" s="156"/>
      <c r="N700" s="2"/>
    </row>
    <row r="701" spans="2:14" ht="15.75" customHeight="1" x14ac:dyDescent="0.2">
      <c r="B701" s="7"/>
      <c r="F701" s="81"/>
      <c r="H701" s="156"/>
      <c r="N701" s="2"/>
    </row>
    <row r="702" spans="2:14" ht="15.75" customHeight="1" x14ac:dyDescent="0.2">
      <c r="B702" s="7"/>
      <c r="F702" s="81"/>
      <c r="H702" s="156"/>
      <c r="N702" s="2"/>
    </row>
    <row r="703" spans="2:14" ht="15.75" customHeight="1" x14ac:dyDescent="0.2">
      <c r="B703" s="7"/>
      <c r="F703" s="81"/>
      <c r="H703" s="156"/>
      <c r="N703" s="2"/>
    </row>
    <row r="704" spans="2:14" ht="15.75" customHeight="1" x14ac:dyDescent="0.2">
      <c r="B704" s="7"/>
      <c r="F704" s="81"/>
      <c r="H704" s="156"/>
      <c r="N704" s="2"/>
    </row>
    <row r="705" spans="2:14" ht="15.75" customHeight="1" x14ac:dyDescent="0.2">
      <c r="B705" s="7"/>
      <c r="F705" s="81"/>
      <c r="H705" s="156"/>
      <c r="N705" s="2"/>
    </row>
    <row r="706" spans="2:14" ht="15.75" customHeight="1" x14ac:dyDescent="0.2">
      <c r="B706" s="7"/>
      <c r="F706" s="81"/>
      <c r="H706" s="156"/>
      <c r="N706" s="2"/>
    </row>
    <row r="707" spans="2:14" ht="15.75" customHeight="1" x14ac:dyDescent="0.2">
      <c r="B707" s="7"/>
      <c r="F707" s="81"/>
      <c r="H707" s="156"/>
      <c r="N707" s="2"/>
    </row>
    <row r="708" spans="2:14" ht="15.75" customHeight="1" x14ac:dyDescent="0.2">
      <c r="B708" s="7"/>
      <c r="F708" s="81"/>
      <c r="H708" s="156"/>
      <c r="N708" s="2"/>
    </row>
    <row r="709" spans="2:14" ht="15.75" customHeight="1" x14ac:dyDescent="0.2">
      <c r="B709" s="7"/>
      <c r="F709" s="81"/>
      <c r="H709" s="156"/>
      <c r="N709" s="2"/>
    </row>
    <row r="710" spans="2:14" ht="15.75" customHeight="1" x14ac:dyDescent="0.2">
      <c r="B710" s="7"/>
      <c r="F710" s="81"/>
      <c r="H710" s="156"/>
      <c r="N710" s="2"/>
    </row>
    <row r="711" spans="2:14" ht="15.75" customHeight="1" x14ac:dyDescent="0.2">
      <c r="B711" s="7"/>
      <c r="F711" s="81"/>
      <c r="H711" s="156"/>
      <c r="N711" s="2"/>
    </row>
    <row r="712" spans="2:14" ht="15.75" customHeight="1" x14ac:dyDescent="0.2">
      <c r="B712" s="7"/>
      <c r="F712" s="81"/>
      <c r="H712" s="156"/>
      <c r="N712" s="2"/>
    </row>
    <row r="713" spans="2:14" ht="15.75" customHeight="1" x14ac:dyDescent="0.2">
      <c r="B713" s="7"/>
      <c r="F713" s="81"/>
      <c r="H713" s="156"/>
      <c r="N713" s="2"/>
    </row>
    <row r="714" spans="2:14" ht="15.75" customHeight="1" x14ac:dyDescent="0.2">
      <c r="B714" s="7"/>
      <c r="F714" s="81"/>
      <c r="H714" s="156"/>
      <c r="N714" s="2"/>
    </row>
    <row r="715" spans="2:14" ht="15.75" customHeight="1" x14ac:dyDescent="0.2">
      <c r="B715" s="7"/>
      <c r="F715" s="81"/>
      <c r="H715" s="156"/>
      <c r="N715" s="2"/>
    </row>
    <row r="716" spans="2:14" ht="15.75" customHeight="1" x14ac:dyDescent="0.2">
      <c r="B716" s="7"/>
      <c r="F716" s="81"/>
      <c r="H716" s="156"/>
      <c r="N716" s="2"/>
    </row>
    <row r="717" spans="2:14" ht="15.75" customHeight="1" x14ac:dyDescent="0.2">
      <c r="B717" s="7"/>
      <c r="F717" s="81"/>
      <c r="H717" s="156"/>
      <c r="N717" s="2"/>
    </row>
    <row r="718" spans="2:14" ht="15.75" customHeight="1" x14ac:dyDescent="0.2">
      <c r="B718" s="7"/>
      <c r="F718" s="81"/>
      <c r="H718" s="156"/>
      <c r="N718" s="2"/>
    </row>
    <row r="719" spans="2:14" ht="15.75" customHeight="1" x14ac:dyDescent="0.2">
      <c r="B719" s="7"/>
      <c r="F719" s="81"/>
      <c r="H719" s="156"/>
      <c r="N719" s="2"/>
    </row>
    <row r="720" spans="2:14" ht="15.75" customHeight="1" x14ac:dyDescent="0.2">
      <c r="B720" s="7"/>
      <c r="F720" s="81"/>
      <c r="H720" s="156"/>
      <c r="N720" s="2"/>
    </row>
    <row r="721" spans="2:14" ht="15.75" customHeight="1" x14ac:dyDescent="0.2">
      <c r="B721" s="7"/>
      <c r="F721" s="81"/>
      <c r="H721" s="156"/>
      <c r="N721" s="2"/>
    </row>
    <row r="722" spans="2:14" ht="15.75" customHeight="1" x14ac:dyDescent="0.2">
      <c r="B722" s="7"/>
      <c r="F722" s="81"/>
      <c r="H722" s="156"/>
      <c r="N722" s="2"/>
    </row>
    <row r="723" spans="2:14" ht="15.75" customHeight="1" x14ac:dyDescent="0.2">
      <c r="B723" s="7"/>
      <c r="F723" s="81"/>
      <c r="H723" s="156"/>
      <c r="N723" s="2"/>
    </row>
    <row r="724" spans="2:14" ht="15.75" customHeight="1" x14ac:dyDescent="0.2">
      <c r="B724" s="7"/>
      <c r="F724" s="81"/>
      <c r="H724" s="156"/>
      <c r="N724" s="2"/>
    </row>
    <row r="725" spans="2:14" ht="15.75" customHeight="1" x14ac:dyDescent="0.2">
      <c r="B725" s="7"/>
      <c r="F725" s="81"/>
      <c r="H725" s="156"/>
      <c r="N725" s="2"/>
    </row>
    <row r="726" spans="2:14" ht="15.75" customHeight="1" x14ac:dyDescent="0.2">
      <c r="B726" s="7"/>
      <c r="F726" s="81"/>
      <c r="H726" s="156"/>
      <c r="N726" s="2"/>
    </row>
    <row r="727" spans="2:14" ht="15.75" customHeight="1" x14ac:dyDescent="0.2">
      <c r="B727" s="7"/>
      <c r="F727" s="81"/>
      <c r="H727" s="156"/>
      <c r="N727" s="2"/>
    </row>
    <row r="728" spans="2:14" ht="15.75" customHeight="1" x14ac:dyDescent="0.2">
      <c r="B728" s="7"/>
      <c r="F728" s="81"/>
      <c r="H728" s="156"/>
      <c r="N728" s="2"/>
    </row>
    <row r="729" spans="2:14" ht="15.75" customHeight="1" x14ac:dyDescent="0.2">
      <c r="B729" s="7"/>
      <c r="F729" s="81"/>
      <c r="H729" s="156"/>
      <c r="N729" s="2"/>
    </row>
    <row r="730" spans="2:14" ht="15.75" customHeight="1" x14ac:dyDescent="0.2">
      <c r="B730" s="7"/>
      <c r="F730" s="81"/>
      <c r="H730" s="156"/>
      <c r="N730" s="2"/>
    </row>
    <row r="731" spans="2:14" ht="15.75" customHeight="1" x14ac:dyDescent="0.2">
      <c r="B731" s="7"/>
      <c r="F731" s="81"/>
      <c r="H731" s="156"/>
      <c r="N731" s="2"/>
    </row>
    <row r="732" spans="2:14" ht="15.75" customHeight="1" x14ac:dyDescent="0.2">
      <c r="B732" s="7"/>
      <c r="F732" s="81"/>
      <c r="H732" s="156"/>
      <c r="N732" s="2"/>
    </row>
    <row r="733" spans="2:14" ht="15.75" customHeight="1" x14ac:dyDescent="0.2">
      <c r="B733" s="7"/>
      <c r="F733" s="81"/>
      <c r="H733" s="156"/>
      <c r="N733" s="2"/>
    </row>
    <row r="734" spans="2:14" ht="15.75" customHeight="1" x14ac:dyDescent="0.2">
      <c r="B734" s="7"/>
      <c r="F734" s="81"/>
      <c r="H734" s="156"/>
      <c r="N734" s="2"/>
    </row>
    <row r="735" spans="2:14" ht="15.75" customHeight="1" x14ac:dyDescent="0.2">
      <c r="B735" s="7"/>
      <c r="F735" s="81"/>
      <c r="H735" s="156"/>
      <c r="N735" s="2"/>
    </row>
    <row r="736" spans="2:14" ht="15.75" customHeight="1" x14ac:dyDescent="0.2">
      <c r="B736" s="7"/>
      <c r="F736" s="81"/>
      <c r="H736" s="156"/>
      <c r="N736" s="2"/>
    </row>
    <row r="737" spans="2:14" ht="15.75" customHeight="1" x14ac:dyDescent="0.2">
      <c r="B737" s="7"/>
      <c r="F737" s="81"/>
      <c r="H737" s="156"/>
      <c r="N737" s="2"/>
    </row>
    <row r="738" spans="2:14" ht="15.75" customHeight="1" x14ac:dyDescent="0.2">
      <c r="B738" s="7"/>
      <c r="F738" s="81"/>
      <c r="H738" s="156"/>
      <c r="N738" s="2"/>
    </row>
    <row r="739" spans="2:14" ht="15.75" customHeight="1" x14ac:dyDescent="0.2">
      <c r="B739" s="7"/>
      <c r="F739" s="81"/>
      <c r="H739" s="156"/>
      <c r="N739" s="2"/>
    </row>
    <row r="740" spans="2:14" ht="15.75" customHeight="1" x14ac:dyDescent="0.2">
      <c r="B740" s="7"/>
      <c r="F740" s="81"/>
      <c r="H740" s="156"/>
      <c r="N740" s="2"/>
    </row>
    <row r="741" spans="2:14" ht="15.75" customHeight="1" x14ac:dyDescent="0.2">
      <c r="B741" s="7"/>
      <c r="F741" s="81"/>
      <c r="H741" s="156"/>
      <c r="N741" s="2"/>
    </row>
    <row r="742" spans="2:14" ht="15.75" customHeight="1" x14ac:dyDescent="0.2">
      <c r="B742" s="7"/>
      <c r="F742" s="81"/>
      <c r="H742" s="156"/>
      <c r="N742" s="2"/>
    </row>
    <row r="743" spans="2:14" ht="15.75" customHeight="1" x14ac:dyDescent="0.2">
      <c r="B743" s="7"/>
      <c r="F743" s="81"/>
      <c r="H743" s="156"/>
      <c r="N743" s="2"/>
    </row>
    <row r="744" spans="2:14" ht="15.75" customHeight="1" x14ac:dyDescent="0.2">
      <c r="B744" s="7"/>
      <c r="F744" s="81"/>
      <c r="H744" s="156"/>
      <c r="N744" s="2"/>
    </row>
    <row r="745" spans="2:14" ht="15.75" customHeight="1" x14ac:dyDescent="0.2">
      <c r="B745" s="7"/>
      <c r="F745" s="81"/>
      <c r="H745" s="156"/>
      <c r="N745" s="2"/>
    </row>
    <row r="746" spans="2:14" ht="15.75" customHeight="1" x14ac:dyDescent="0.2">
      <c r="B746" s="7"/>
      <c r="F746" s="81"/>
      <c r="H746" s="156"/>
      <c r="N746" s="2"/>
    </row>
    <row r="747" spans="2:14" ht="15.75" customHeight="1" x14ac:dyDescent="0.2">
      <c r="B747" s="7"/>
      <c r="F747" s="81"/>
      <c r="H747" s="156"/>
      <c r="N747" s="2"/>
    </row>
    <row r="748" spans="2:14" ht="15.75" customHeight="1" x14ac:dyDescent="0.2">
      <c r="B748" s="7"/>
      <c r="F748" s="81"/>
      <c r="H748" s="156"/>
      <c r="N748" s="2"/>
    </row>
    <row r="749" spans="2:14" ht="15.75" customHeight="1" x14ac:dyDescent="0.2">
      <c r="B749" s="7"/>
      <c r="F749" s="81"/>
      <c r="H749" s="156"/>
      <c r="N749" s="2"/>
    </row>
    <row r="750" spans="2:14" ht="15.75" customHeight="1" x14ac:dyDescent="0.2">
      <c r="B750" s="7"/>
      <c r="F750" s="81"/>
      <c r="H750" s="156"/>
      <c r="N750" s="2"/>
    </row>
    <row r="751" spans="2:14" ht="15.75" customHeight="1" x14ac:dyDescent="0.2">
      <c r="B751" s="7"/>
      <c r="F751" s="81"/>
      <c r="H751" s="156"/>
      <c r="N751" s="2"/>
    </row>
    <row r="752" spans="2:14" ht="15.75" customHeight="1" x14ac:dyDescent="0.2">
      <c r="B752" s="7"/>
      <c r="F752" s="81"/>
      <c r="H752" s="156"/>
      <c r="N752" s="2"/>
    </row>
    <row r="753" spans="2:14" ht="15.75" customHeight="1" x14ac:dyDescent="0.2">
      <c r="B753" s="7"/>
      <c r="F753" s="81"/>
      <c r="H753" s="156"/>
      <c r="N753" s="2"/>
    </row>
    <row r="754" spans="2:14" ht="15.75" customHeight="1" x14ac:dyDescent="0.2">
      <c r="B754" s="7"/>
      <c r="F754" s="81"/>
      <c r="H754" s="156"/>
      <c r="N754" s="2"/>
    </row>
    <row r="755" spans="2:14" ht="15.75" customHeight="1" x14ac:dyDescent="0.2">
      <c r="B755" s="7"/>
      <c r="F755" s="81"/>
      <c r="H755" s="156"/>
      <c r="N755" s="2"/>
    </row>
    <row r="756" spans="2:14" ht="15.75" customHeight="1" x14ac:dyDescent="0.2">
      <c r="B756" s="7"/>
      <c r="F756" s="81"/>
      <c r="H756" s="156"/>
      <c r="N756" s="2"/>
    </row>
    <row r="757" spans="2:14" ht="15.75" customHeight="1" x14ac:dyDescent="0.2">
      <c r="B757" s="7"/>
      <c r="F757" s="81"/>
      <c r="H757" s="156"/>
      <c r="N757" s="2"/>
    </row>
    <row r="758" spans="2:14" ht="15.75" customHeight="1" x14ac:dyDescent="0.2">
      <c r="B758" s="7"/>
      <c r="F758" s="81"/>
      <c r="H758" s="156"/>
      <c r="N758" s="2"/>
    </row>
    <row r="759" spans="2:14" ht="15.75" customHeight="1" x14ac:dyDescent="0.2">
      <c r="B759" s="7"/>
      <c r="F759" s="81"/>
      <c r="H759" s="156"/>
      <c r="N759" s="2"/>
    </row>
    <row r="760" spans="2:14" ht="15.75" customHeight="1" x14ac:dyDescent="0.2">
      <c r="B760" s="7"/>
      <c r="F760" s="81"/>
      <c r="H760" s="156"/>
      <c r="N760" s="2"/>
    </row>
    <row r="761" spans="2:14" ht="15.75" customHeight="1" x14ac:dyDescent="0.2">
      <c r="B761" s="7"/>
      <c r="F761" s="81"/>
      <c r="H761" s="156"/>
      <c r="N761" s="2"/>
    </row>
    <row r="762" spans="2:14" ht="15.75" customHeight="1" x14ac:dyDescent="0.2">
      <c r="B762" s="7"/>
      <c r="F762" s="81"/>
      <c r="H762" s="156"/>
      <c r="N762" s="2"/>
    </row>
    <row r="763" spans="2:14" ht="15.75" customHeight="1" x14ac:dyDescent="0.2">
      <c r="B763" s="7"/>
      <c r="F763" s="81"/>
      <c r="H763" s="156"/>
      <c r="N763" s="2"/>
    </row>
    <row r="764" spans="2:14" ht="15.75" customHeight="1" x14ac:dyDescent="0.2">
      <c r="B764" s="7"/>
      <c r="F764" s="81"/>
      <c r="H764" s="156"/>
      <c r="N764" s="2"/>
    </row>
    <row r="765" spans="2:14" ht="15.75" customHeight="1" x14ac:dyDescent="0.2">
      <c r="B765" s="7"/>
      <c r="F765" s="81"/>
      <c r="H765" s="156"/>
      <c r="N765" s="2"/>
    </row>
    <row r="766" spans="2:14" ht="15.75" customHeight="1" x14ac:dyDescent="0.2">
      <c r="B766" s="7"/>
      <c r="F766" s="81"/>
      <c r="H766" s="156"/>
      <c r="N766" s="2"/>
    </row>
    <row r="767" spans="2:14" ht="15.75" customHeight="1" x14ac:dyDescent="0.2">
      <c r="B767" s="7"/>
      <c r="F767" s="81"/>
      <c r="H767" s="156"/>
      <c r="N767" s="2"/>
    </row>
    <row r="768" spans="2:14" ht="15.75" customHeight="1" x14ac:dyDescent="0.2">
      <c r="B768" s="7"/>
      <c r="F768" s="81"/>
      <c r="H768" s="156"/>
      <c r="N768" s="2"/>
    </row>
    <row r="769" spans="2:14" ht="15.75" customHeight="1" x14ac:dyDescent="0.2">
      <c r="B769" s="7"/>
      <c r="F769" s="81"/>
      <c r="H769" s="156"/>
      <c r="N769" s="2"/>
    </row>
    <row r="770" spans="2:14" ht="15.75" customHeight="1" x14ac:dyDescent="0.2">
      <c r="B770" s="7"/>
      <c r="F770" s="81"/>
      <c r="H770" s="156"/>
      <c r="N770" s="2"/>
    </row>
    <row r="771" spans="2:14" ht="15.75" customHeight="1" x14ac:dyDescent="0.2">
      <c r="B771" s="7"/>
      <c r="F771" s="81"/>
      <c r="H771" s="156"/>
      <c r="N771" s="2"/>
    </row>
    <row r="772" spans="2:14" ht="15.75" customHeight="1" x14ac:dyDescent="0.2">
      <c r="B772" s="7"/>
      <c r="F772" s="81"/>
      <c r="H772" s="156"/>
      <c r="N772" s="2"/>
    </row>
    <row r="773" spans="2:14" ht="15.75" customHeight="1" x14ac:dyDescent="0.2">
      <c r="B773" s="7"/>
      <c r="F773" s="81"/>
      <c r="H773" s="156"/>
      <c r="N773" s="2"/>
    </row>
    <row r="774" spans="2:14" ht="15.75" customHeight="1" x14ac:dyDescent="0.2">
      <c r="B774" s="7"/>
      <c r="F774" s="81"/>
      <c r="H774" s="156"/>
      <c r="N774" s="2"/>
    </row>
    <row r="775" spans="2:14" ht="15.75" customHeight="1" x14ac:dyDescent="0.2">
      <c r="B775" s="7"/>
      <c r="F775" s="81"/>
      <c r="H775" s="156"/>
      <c r="N775" s="2"/>
    </row>
    <row r="776" spans="2:14" ht="15.75" customHeight="1" x14ac:dyDescent="0.2">
      <c r="B776" s="7"/>
      <c r="F776" s="81"/>
      <c r="H776" s="156"/>
      <c r="N776" s="2"/>
    </row>
    <row r="777" spans="2:14" ht="15.75" customHeight="1" x14ac:dyDescent="0.2">
      <c r="B777" s="7"/>
      <c r="F777" s="81"/>
      <c r="H777" s="156"/>
      <c r="N777" s="2"/>
    </row>
    <row r="778" spans="2:14" ht="15.75" customHeight="1" x14ac:dyDescent="0.2">
      <c r="B778" s="7"/>
      <c r="F778" s="81"/>
      <c r="H778" s="156"/>
      <c r="N778" s="2"/>
    </row>
    <row r="779" spans="2:14" ht="15.75" customHeight="1" x14ac:dyDescent="0.2">
      <c r="B779" s="7"/>
      <c r="F779" s="81"/>
      <c r="H779" s="156"/>
      <c r="N779" s="2"/>
    </row>
    <row r="780" spans="2:14" ht="15.75" customHeight="1" x14ac:dyDescent="0.2">
      <c r="B780" s="7"/>
      <c r="F780" s="81"/>
      <c r="H780" s="156"/>
      <c r="N780" s="2"/>
    </row>
    <row r="781" spans="2:14" ht="15.75" customHeight="1" x14ac:dyDescent="0.2">
      <c r="B781" s="7"/>
      <c r="F781" s="81"/>
      <c r="H781" s="156"/>
      <c r="N781" s="2"/>
    </row>
    <row r="782" spans="2:14" ht="15.75" customHeight="1" x14ac:dyDescent="0.2">
      <c r="B782" s="7"/>
      <c r="F782" s="81"/>
      <c r="H782" s="156"/>
      <c r="N782" s="2"/>
    </row>
    <row r="783" spans="2:14" ht="15.75" customHeight="1" x14ac:dyDescent="0.2">
      <c r="B783" s="7"/>
      <c r="F783" s="81"/>
      <c r="H783" s="156"/>
      <c r="N783" s="2"/>
    </row>
    <row r="784" spans="2:14" ht="15.75" customHeight="1" x14ac:dyDescent="0.2">
      <c r="B784" s="7"/>
      <c r="F784" s="81"/>
      <c r="H784" s="156"/>
      <c r="N784" s="2"/>
    </row>
    <row r="785" spans="2:14" ht="15.75" customHeight="1" x14ac:dyDescent="0.2">
      <c r="B785" s="7"/>
      <c r="F785" s="81"/>
      <c r="H785" s="156"/>
      <c r="N785" s="2"/>
    </row>
    <row r="786" spans="2:14" ht="15.75" customHeight="1" x14ac:dyDescent="0.2">
      <c r="B786" s="7"/>
      <c r="F786" s="81"/>
      <c r="H786" s="156"/>
      <c r="N786" s="2"/>
    </row>
    <row r="787" spans="2:14" ht="15.75" customHeight="1" x14ac:dyDescent="0.2">
      <c r="B787" s="7"/>
      <c r="F787" s="81"/>
      <c r="H787" s="156"/>
      <c r="N787" s="2"/>
    </row>
    <row r="788" spans="2:14" ht="15.75" customHeight="1" x14ac:dyDescent="0.2">
      <c r="B788" s="7"/>
      <c r="F788" s="81"/>
      <c r="H788" s="156"/>
      <c r="N788" s="2"/>
    </row>
    <row r="789" spans="2:14" ht="15.75" customHeight="1" x14ac:dyDescent="0.2">
      <c r="B789" s="7"/>
      <c r="F789" s="81"/>
      <c r="H789" s="156"/>
      <c r="N789" s="2"/>
    </row>
    <row r="790" spans="2:14" ht="15.75" customHeight="1" x14ac:dyDescent="0.2">
      <c r="B790" s="7"/>
      <c r="F790" s="81"/>
      <c r="H790" s="156"/>
      <c r="N790" s="2"/>
    </row>
    <row r="791" spans="2:14" ht="15.75" customHeight="1" x14ac:dyDescent="0.2">
      <c r="B791" s="7"/>
      <c r="F791" s="81"/>
      <c r="H791" s="156"/>
      <c r="N791" s="2"/>
    </row>
    <row r="792" spans="2:14" ht="15.75" customHeight="1" x14ac:dyDescent="0.2">
      <c r="B792" s="7"/>
      <c r="F792" s="81"/>
      <c r="H792" s="156"/>
      <c r="N792" s="2"/>
    </row>
    <row r="793" spans="2:14" ht="15.75" customHeight="1" x14ac:dyDescent="0.2">
      <c r="B793" s="7"/>
      <c r="F793" s="81"/>
      <c r="H793" s="156"/>
      <c r="N793" s="2"/>
    </row>
    <row r="794" spans="2:14" ht="15.75" customHeight="1" x14ac:dyDescent="0.2">
      <c r="B794" s="7"/>
      <c r="F794" s="81"/>
      <c r="H794" s="156"/>
      <c r="N794" s="2"/>
    </row>
    <row r="795" spans="2:14" ht="15.75" customHeight="1" x14ac:dyDescent="0.2">
      <c r="B795" s="7"/>
      <c r="F795" s="81"/>
      <c r="H795" s="156"/>
      <c r="N795" s="2"/>
    </row>
    <row r="796" spans="2:14" ht="15.75" customHeight="1" x14ac:dyDescent="0.2">
      <c r="B796" s="7"/>
      <c r="F796" s="81"/>
      <c r="H796" s="156"/>
      <c r="N796" s="2"/>
    </row>
    <row r="797" spans="2:14" ht="15.75" customHeight="1" x14ac:dyDescent="0.2">
      <c r="B797" s="7"/>
      <c r="F797" s="81"/>
      <c r="H797" s="156"/>
      <c r="N797" s="2"/>
    </row>
    <row r="798" spans="2:14" ht="15.75" customHeight="1" x14ac:dyDescent="0.2">
      <c r="B798" s="7"/>
      <c r="F798" s="81"/>
      <c r="H798" s="156"/>
      <c r="N798" s="2"/>
    </row>
    <row r="799" spans="2:14" ht="15.75" customHeight="1" x14ac:dyDescent="0.2">
      <c r="B799" s="7"/>
      <c r="F799" s="81"/>
      <c r="H799" s="156"/>
      <c r="N799" s="2"/>
    </row>
    <row r="800" spans="2:14" ht="15.75" customHeight="1" x14ac:dyDescent="0.2">
      <c r="B800" s="7"/>
      <c r="F800" s="81"/>
      <c r="H800" s="156"/>
      <c r="N800" s="2"/>
    </row>
    <row r="801" spans="2:14" ht="15.75" customHeight="1" x14ac:dyDescent="0.2">
      <c r="B801" s="7"/>
      <c r="F801" s="81"/>
      <c r="H801" s="156"/>
      <c r="N801" s="2"/>
    </row>
    <row r="802" spans="2:14" ht="15.75" customHeight="1" x14ac:dyDescent="0.2">
      <c r="B802" s="7"/>
      <c r="F802" s="81"/>
      <c r="H802" s="156"/>
      <c r="N802" s="2"/>
    </row>
    <row r="803" spans="2:14" ht="15.75" customHeight="1" x14ac:dyDescent="0.2">
      <c r="B803" s="7"/>
      <c r="F803" s="81"/>
      <c r="H803" s="156"/>
      <c r="N803" s="2"/>
    </row>
    <row r="804" spans="2:14" ht="15.75" customHeight="1" x14ac:dyDescent="0.2">
      <c r="B804" s="7"/>
      <c r="F804" s="81"/>
      <c r="H804" s="156"/>
      <c r="N804" s="2"/>
    </row>
    <row r="805" spans="2:14" ht="15.75" customHeight="1" x14ac:dyDescent="0.2">
      <c r="B805" s="7"/>
      <c r="F805" s="81"/>
      <c r="H805" s="156"/>
      <c r="N805" s="2"/>
    </row>
    <row r="806" spans="2:14" ht="15.75" customHeight="1" x14ac:dyDescent="0.2">
      <c r="B806" s="7"/>
      <c r="F806" s="81"/>
      <c r="H806" s="156"/>
      <c r="N806" s="2"/>
    </row>
    <row r="807" spans="2:14" ht="15.75" customHeight="1" x14ac:dyDescent="0.2">
      <c r="B807" s="7"/>
      <c r="F807" s="81"/>
      <c r="H807" s="156"/>
      <c r="N807" s="2"/>
    </row>
    <row r="808" spans="2:14" ht="15.75" customHeight="1" x14ac:dyDescent="0.2">
      <c r="B808" s="7"/>
      <c r="F808" s="81"/>
      <c r="H808" s="156"/>
      <c r="N808" s="2"/>
    </row>
    <row r="809" spans="2:14" ht="15.75" customHeight="1" x14ac:dyDescent="0.2">
      <c r="B809" s="7"/>
      <c r="F809" s="81"/>
      <c r="H809" s="156"/>
      <c r="N809" s="2"/>
    </row>
    <row r="810" spans="2:14" ht="15.75" customHeight="1" x14ac:dyDescent="0.2">
      <c r="B810" s="7"/>
      <c r="F810" s="81"/>
      <c r="H810" s="156"/>
      <c r="N810" s="2"/>
    </row>
    <row r="811" spans="2:14" ht="15.75" customHeight="1" x14ac:dyDescent="0.2">
      <c r="B811" s="7"/>
      <c r="F811" s="81"/>
      <c r="H811" s="156"/>
      <c r="N811" s="2"/>
    </row>
    <row r="812" spans="2:14" ht="15.75" customHeight="1" x14ac:dyDescent="0.2">
      <c r="B812" s="7"/>
      <c r="F812" s="81"/>
      <c r="H812" s="156"/>
      <c r="N812" s="2"/>
    </row>
    <row r="813" spans="2:14" ht="15.75" customHeight="1" x14ac:dyDescent="0.2">
      <c r="B813" s="7"/>
      <c r="F813" s="81"/>
      <c r="H813" s="156"/>
      <c r="N813" s="2"/>
    </row>
    <row r="814" spans="2:14" ht="15.75" customHeight="1" x14ac:dyDescent="0.2">
      <c r="B814" s="7"/>
      <c r="F814" s="81"/>
      <c r="H814" s="156"/>
      <c r="N814" s="2"/>
    </row>
    <row r="815" spans="2:14" ht="15.75" customHeight="1" x14ac:dyDescent="0.2">
      <c r="B815" s="7"/>
      <c r="F815" s="81"/>
      <c r="H815" s="156"/>
      <c r="N815" s="2"/>
    </row>
    <row r="816" spans="2:14" ht="15.75" customHeight="1" x14ac:dyDescent="0.2">
      <c r="B816" s="7"/>
      <c r="F816" s="81"/>
      <c r="H816" s="156"/>
      <c r="N816" s="2"/>
    </row>
    <row r="817" spans="2:14" ht="15.75" customHeight="1" x14ac:dyDescent="0.2">
      <c r="B817" s="7"/>
      <c r="F817" s="81"/>
      <c r="H817" s="156"/>
      <c r="N817" s="2"/>
    </row>
    <row r="818" spans="2:14" ht="15.75" customHeight="1" x14ac:dyDescent="0.2">
      <c r="B818" s="7"/>
      <c r="F818" s="81"/>
      <c r="H818" s="156"/>
      <c r="N818" s="2"/>
    </row>
    <row r="819" spans="2:14" ht="15.75" customHeight="1" x14ac:dyDescent="0.2">
      <c r="B819" s="7"/>
      <c r="F819" s="81"/>
      <c r="H819" s="156"/>
      <c r="N819" s="2"/>
    </row>
    <row r="820" spans="2:14" ht="15.75" customHeight="1" x14ac:dyDescent="0.2">
      <c r="B820" s="7"/>
      <c r="F820" s="81"/>
      <c r="H820" s="156"/>
      <c r="N820" s="2"/>
    </row>
    <row r="821" spans="2:14" ht="15.75" customHeight="1" x14ac:dyDescent="0.2">
      <c r="B821" s="7"/>
      <c r="F821" s="81"/>
      <c r="H821" s="156"/>
      <c r="N821" s="2"/>
    </row>
    <row r="822" spans="2:14" ht="15.75" customHeight="1" x14ac:dyDescent="0.2">
      <c r="B822" s="7"/>
      <c r="F822" s="81"/>
      <c r="H822" s="156"/>
      <c r="N822" s="2"/>
    </row>
    <row r="823" spans="2:14" ht="15.75" customHeight="1" x14ac:dyDescent="0.2">
      <c r="B823" s="7"/>
      <c r="F823" s="81"/>
      <c r="H823" s="156"/>
      <c r="N823" s="2"/>
    </row>
    <row r="824" spans="2:14" ht="15.75" customHeight="1" x14ac:dyDescent="0.2">
      <c r="B824" s="7"/>
      <c r="F824" s="81"/>
      <c r="H824" s="156"/>
      <c r="N824" s="2"/>
    </row>
    <row r="825" spans="2:14" ht="15.75" customHeight="1" x14ac:dyDescent="0.2">
      <c r="B825" s="7"/>
      <c r="F825" s="81"/>
      <c r="H825" s="156"/>
      <c r="N825" s="2"/>
    </row>
    <row r="826" spans="2:14" ht="15.75" customHeight="1" x14ac:dyDescent="0.2">
      <c r="B826" s="7"/>
      <c r="F826" s="81"/>
      <c r="H826" s="156"/>
      <c r="N826" s="2"/>
    </row>
    <row r="827" spans="2:14" ht="15.75" customHeight="1" x14ac:dyDescent="0.2">
      <c r="B827" s="7"/>
      <c r="F827" s="81"/>
      <c r="H827" s="156"/>
      <c r="N827" s="2"/>
    </row>
    <row r="828" spans="2:14" ht="15.75" customHeight="1" x14ac:dyDescent="0.2">
      <c r="B828" s="7"/>
      <c r="F828" s="81"/>
      <c r="H828" s="156"/>
      <c r="N828" s="2"/>
    </row>
    <row r="829" spans="2:14" ht="15.75" customHeight="1" x14ac:dyDescent="0.2">
      <c r="B829" s="7"/>
      <c r="F829" s="81"/>
      <c r="H829" s="156"/>
      <c r="N829" s="2"/>
    </row>
    <row r="830" spans="2:14" ht="15.75" customHeight="1" x14ac:dyDescent="0.2">
      <c r="B830" s="7"/>
      <c r="F830" s="81"/>
      <c r="H830" s="156"/>
      <c r="N830" s="2"/>
    </row>
    <row r="831" spans="2:14" ht="15.75" customHeight="1" x14ac:dyDescent="0.2">
      <c r="B831" s="7"/>
      <c r="F831" s="81"/>
      <c r="H831" s="156"/>
      <c r="N831" s="2"/>
    </row>
    <row r="832" spans="2:14" ht="15.75" customHeight="1" x14ac:dyDescent="0.2">
      <c r="B832" s="7"/>
      <c r="F832" s="81"/>
      <c r="H832" s="156"/>
      <c r="N832" s="2"/>
    </row>
    <row r="833" spans="2:14" ht="15.75" customHeight="1" x14ac:dyDescent="0.2">
      <c r="B833" s="7"/>
      <c r="F833" s="81"/>
      <c r="H833" s="156"/>
      <c r="N833" s="2"/>
    </row>
    <row r="834" spans="2:14" ht="15.75" customHeight="1" x14ac:dyDescent="0.2">
      <c r="B834" s="7"/>
      <c r="F834" s="81"/>
      <c r="H834" s="156"/>
      <c r="N834" s="2"/>
    </row>
    <row r="835" spans="2:14" ht="15.75" customHeight="1" x14ac:dyDescent="0.2">
      <c r="B835" s="7"/>
      <c r="F835" s="81"/>
      <c r="H835" s="156"/>
      <c r="N835" s="2"/>
    </row>
    <row r="836" spans="2:14" ht="15.75" customHeight="1" x14ac:dyDescent="0.2">
      <c r="B836" s="7"/>
      <c r="F836" s="81"/>
      <c r="H836" s="156"/>
      <c r="N836" s="2"/>
    </row>
    <row r="837" spans="2:14" ht="15.75" customHeight="1" x14ac:dyDescent="0.2">
      <c r="B837" s="7"/>
      <c r="F837" s="81"/>
      <c r="H837" s="156"/>
      <c r="N837" s="2"/>
    </row>
    <row r="838" spans="2:14" ht="15.75" customHeight="1" x14ac:dyDescent="0.2">
      <c r="B838" s="7"/>
      <c r="F838" s="81"/>
      <c r="H838" s="156"/>
      <c r="N838" s="2"/>
    </row>
    <row r="839" spans="2:14" ht="15.75" customHeight="1" x14ac:dyDescent="0.2">
      <c r="B839" s="7"/>
      <c r="F839" s="81"/>
      <c r="H839" s="156"/>
      <c r="N839" s="2"/>
    </row>
    <row r="840" spans="2:14" ht="15.75" customHeight="1" x14ac:dyDescent="0.2">
      <c r="B840" s="7"/>
      <c r="F840" s="81"/>
      <c r="H840" s="156"/>
      <c r="N840" s="2"/>
    </row>
    <row r="841" spans="2:14" ht="15.75" customHeight="1" x14ac:dyDescent="0.2">
      <c r="B841" s="7"/>
      <c r="F841" s="81"/>
      <c r="H841" s="156"/>
      <c r="N841" s="2"/>
    </row>
    <row r="842" spans="2:14" ht="15.75" customHeight="1" x14ac:dyDescent="0.2">
      <c r="B842" s="7"/>
      <c r="F842" s="81"/>
      <c r="H842" s="156"/>
      <c r="N842" s="2"/>
    </row>
    <row r="843" spans="2:14" ht="15.75" customHeight="1" x14ac:dyDescent="0.2">
      <c r="B843" s="7"/>
      <c r="F843" s="81"/>
      <c r="H843" s="156"/>
      <c r="N843" s="2"/>
    </row>
    <row r="844" spans="2:14" ht="15.75" customHeight="1" x14ac:dyDescent="0.2">
      <c r="B844" s="7"/>
      <c r="F844" s="81"/>
      <c r="H844" s="156"/>
      <c r="N844" s="2"/>
    </row>
    <row r="845" spans="2:14" ht="15.75" customHeight="1" x14ac:dyDescent="0.2">
      <c r="B845" s="7"/>
      <c r="F845" s="81"/>
      <c r="H845" s="156"/>
      <c r="N845" s="2"/>
    </row>
    <row r="846" spans="2:14" ht="15.75" customHeight="1" x14ac:dyDescent="0.2">
      <c r="B846" s="7"/>
      <c r="F846" s="81"/>
      <c r="H846" s="156"/>
      <c r="N846" s="2"/>
    </row>
    <row r="847" spans="2:14" ht="15.75" customHeight="1" x14ac:dyDescent="0.2">
      <c r="B847" s="7"/>
      <c r="F847" s="81"/>
      <c r="H847" s="156"/>
      <c r="N847" s="2"/>
    </row>
    <row r="848" spans="2:14" ht="15.75" customHeight="1" x14ac:dyDescent="0.2">
      <c r="B848" s="7"/>
      <c r="F848" s="81"/>
      <c r="H848" s="156"/>
      <c r="N848" s="2"/>
    </row>
    <row r="849" spans="2:14" ht="15.75" customHeight="1" x14ac:dyDescent="0.2">
      <c r="B849" s="7"/>
      <c r="F849" s="81"/>
      <c r="H849" s="156"/>
      <c r="N849" s="2"/>
    </row>
    <row r="850" spans="2:14" ht="15.75" customHeight="1" x14ac:dyDescent="0.2">
      <c r="B850" s="7"/>
      <c r="F850" s="81"/>
      <c r="H850" s="156"/>
      <c r="N850" s="2"/>
    </row>
    <row r="851" spans="2:14" ht="15.75" customHeight="1" x14ac:dyDescent="0.2">
      <c r="B851" s="7"/>
      <c r="F851" s="81"/>
      <c r="H851" s="156"/>
      <c r="N851" s="2"/>
    </row>
    <row r="852" spans="2:14" ht="15.75" customHeight="1" x14ac:dyDescent="0.2">
      <c r="B852" s="7"/>
      <c r="F852" s="81"/>
      <c r="H852" s="156"/>
      <c r="N852" s="2"/>
    </row>
    <row r="853" spans="2:14" ht="15.75" customHeight="1" x14ac:dyDescent="0.2">
      <c r="B853" s="7"/>
      <c r="F853" s="81"/>
      <c r="H853" s="156"/>
      <c r="N853" s="2"/>
    </row>
    <row r="854" spans="2:14" ht="15.75" customHeight="1" x14ac:dyDescent="0.2">
      <c r="B854" s="7"/>
      <c r="F854" s="81"/>
      <c r="H854" s="156"/>
      <c r="N854" s="2"/>
    </row>
    <row r="855" spans="2:14" ht="15.75" customHeight="1" x14ac:dyDescent="0.2">
      <c r="B855" s="7"/>
      <c r="F855" s="81"/>
      <c r="H855" s="156"/>
      <c r="N855" s="2"/>
    </row>
    <row r="856" spans="2:14" ht="15.75" customHeight="1" x14ac:dyDescent="0.2">
      <c r="B856" s="7"/>
      <c r="F856" s="81"/>
      <c r="H856" s="156"/>
      <c r="N856" s="2"/>
    </row>
    <row r="857" spans="2:14" ht="15.75" customHeight="1" x14ac:dyDescent="0.2">
      <c r="B857" s="7"/>
      <c r="F857" s="81"/>
      <c r="H857" s="156"/>
      <c r="N857" s="2"/>
    </row>
    <row r="858" spans="2:14" ht="15.75" customHeight="1" x14ac:dyDescent="0.2">
      <c r="B858" s="7"/>
      <c r="F858" s="81"/>
      <c r="H858" s="156"/>
      <c r="N858" s="2"/>
    </row>
    <row r="859" spans="2:14" ht="15.75" customHeight="1" x14ac:dyDescent="0.2">
      <c r="B859" s="7"/>
      <c r="F859" s="81"/>
      <c r="H859" s="156"/>
      <c r="N859" s="2"/>
    </row>
    <row r="860" spans="2:14" ht="15.75" customHeight="1" x14ac:dyDescent="0.2">
      <c r="B860" s="7"/>
      <c r="F860" s="81"/>
      <c r="H860" s="156"/>
      <c r="N860" s="2"/>
    </row>
    <row r="861" spans="2:14" ht="15.75" customHeight="1" x14ac:dyDescent="0.2">
      <c r="B861" s="7"/>
      <c r="F861" s="81"/>
      <c r="H861" s="156"/>
      <c r="N861" s="2"/>
    </row>
    <row r="862" spans="2:14" ht="15.75" customHeight="1" x14ac:dyDescent="0.2">
      <c r="B862" s="7"/>
      <c r="F862" s="81"/>
      <c r="H862" s="156"/>
      <c r="N862" s="2"/>
    </row>
    <row r="863" spans="2:14" ht="15.75" customHeight="1" x14ac:dyDescent="0.2">
      <c r="B863" s="7"/>
      <c r="F863" s="81"/>
      <c r="H863" s="156"/>
      <c r="N863" s="2"/>
    </row>
    <row r="864" spans="2:14" ht="15.75" customHeight="1" x14ac:dyDescent="0.2">
      <c r="B864" s="7"/>
      <c r="F864" s="81"/>
      <c r="H864" s="156"/>
      <c r="N864" s="2"/>
    </row>
    <row r="865" spans="2:14" ht="15.75" customHeight="1" x14ac:dyDescent="0.2">
      <c r="B865" s="7"/>
      <c r="F865" s="81"/>
      <c r="H865" s="156"/>
      <c r="N865" s="2"/>
    </row>
    <row r="866" spans="2:14" ht="15.75" customHeight="1" x14ac:dyDescent="0.2">
      <c r="B866" s="7"/>
      <c r="F866" s="81"/>
      <c r="H866" s="156"/>
      <c r="N866" s="2"/>
    </row>
    <row r="867" spans="2:14" ht="15.75" customHeight="1" x14ac:dyDescent="0.2">
      <c r="B867" s="7"/>
      <c r="F867" s="81"/>
      <c r="H867" s="156"/>
      <c r="N867" s="2"/>
    </row>
    <row r="868" spans="2:14" ht="15.75" customHeight="1" x14ac:dyDescent="0.2">
      <c r="B868" s="7"/>
      <c r="F868" s="81"/>
      <c r="H868" s="156"/>
      <c r="N868" s="2"/>
    </row>
    <row r="869" spans="2:14" ht="15.75" customHeight="1" x14ac:dyDescent="0.2">
      <c r="B869" s="7"/>
      <c r="F869" s="81"/>
      <c r="H869" s="156"/>
      <c r="N869" s="2"/>
    </row>
    <row r="870" spans="2:14" ht="15.75" customHeight="1" x14ac:dyDescent="0.2">
      <c r="B870" s="7"/>
      <c r="F870" s="81"/>
      <c r="H870" s="156"/>
      <c r="N870" s="2"/>
    </row>
    <row r="871" spans="2:14" ht="15.75" customHeight="1" x14ac:dyDescent="0.2">
      <c r="B871" s="7"/>
      <c r="F871" s="81"/>
      <c r="H871" s="156"/>
      <c r="N871" s="2"/>
    </row>
    <row r="872" spans="2:14" ht="15.75" customHeight="1" x14ac:dyDescent="0.2">
      <c r="B872" s="7"/>
      <c r="F872" s="81"/>
      <c r="H872" s="156"/>
      <c r="N872" s="2"/>
    </row>
    <row r="873" spans="2:14" ht="15.75" customHeight="1" x14ac:dyDescent="0.2">
      <c r="B873" s="7"/>
      <c r="F873" s="81"/>
      <c r="H873" s="156"/>
      <c r="N873" s="2"/>
    </row>
    <row r="874" spans="2:14" ht="15.75" customHeight="1" x14ac:dyDescent="0.2">
      <c r="B874" s="7"/>
      <c r="F874" s="81"/>
      <c r="H874" s="156"/>
      <c r="N874" s="2"/>
    </row>
    <row r="875" spans="2:14" ht="15.75" customHeight="1" x14ac:dyDescent="0.2">
      <c r="B875" s="7"/>
      <c r="F875" s="81"/>
      <c r="H875" s="156"/>
      <c r="N875" s="2"/>
    </row>
    <row r="876" spans="2:14" ht="15.75" customHeight="1" x14ac:dyDescent="0.2">
      <c r="B876" s="7"/>
      <c r="F876" s="81"/>
      <c r="H876" s="156"/>
      <c r="N876" s="2"/>
    </row>
    <row r="877" spans="2:14" ht="15.75" customHeight="1" x14ac:dyDescent="0.2">
      <c r="B877" s="7"/>
      <c r="F877" s="81"/>
      <c r="H877" s="156"/>
      <c r="N877" s="2"/>
    </row>
    <row r="878" spans="2:14" ht="15.75" customHeight="1" x14ac:dyDescent="0.2">
      <c r="B878" s="7"/>
      <c r="F878" s="81"/>
      <c r="H878" s="156"/>
      <c r="N878" s="2"/>
    </row>
    <row r="879" spans="2:14" ht="15.75" customHeight="1" x14ac:dyDescent="0.2">
      <c r="B879" s="7"/>
      <c r="F879" s="81"/>
      <c r="H879" s="156"/>
      <c r="N879" s="2"/>
    </row>
    <row r="880" spans="2:14" ht="15.75" customHeight="1" x14ac:dyDescent="0.2">
      <c r="B880" s="7"/>
      <c r="F880" s="81"/>
      <c r="H880" s="156"/>
      <c r="N880" s="2"/>
    </row>
    <row r="881" spans="2:14" ht="15.75" customHeight="1" x14ac:dyDescent="0.2">
      <c r="B881" s="7"/>
      <c r="F881" s="81"/>
      <c r="H881" s="156"/>
      <c r="N881" s="2"/>
    </row>
    <row r="882" spans="2:14" ht="15.75" customHeight="1" x14ac:dyDescent="0.2">
      <c r="B882" s="7"/>
      <c r="F882" s="81"/>
      <c r="H882" s="156"/>
      <c r="N882" s="2"/>
    </row>
    <row r="883" spans="2:14" ht="15.75" customHeight="1" x14ac:dyDescent="0.2">
      <c r="B883" s="7"/>
      <c r="F883" s="81"/>
      <c r="H883" s="156"/>
      <c r="N883" s="2"/>
    </row>
    <row r="884" spans="2:14" ht="15.75" customHeight="1" x14ac:dyDescent="0.2">
      <c r="B884" s="7"/>
      <c r="F884" s="81"/>
      <c r="H884" s="156"/>
      <c r="N884" s="2"/>
    </row>
    <row r="885" spans="2:14" ht="15.75" customHeight="1" x14ac:dyDescent="0.2">
      <c r="B885" s="7"/>
      <c r="F885" s="81"/>
      <c r="H885" s="156"/>
      <c r="N885" s="2"/>
    </row>
    <row r="886" spans="2:14" ht="15.75" customHeight="1" x14ac:dyDescent="0.2">
      <c r="B886" s="7"/>
      <c r="F886" s="81"/>
      <c r="H886" s="156"/>
      <c r="N886" s="2"/>
    </row>
    <row r="887" spans="2:14" ht="15.75" customHeight="1" x14ac:dyDescent="0.2">
      <c r="B887" s="7"/>
      <c r="F887" s="81"/>
      <c r="H887" s="156"/>
      <c r="N887" s="2"/>
    </row>
    <row r="888" spans="2:14" ht="15.75" customHeight="1" x14ac:dyDescent="0.2">
      <c r="B888" s="7"/>
      <c r="F888" s="81"/>
      <c r="H888" s="156"/>
      <c r="N888" s="2"/>
    </row>
    <row r="889" spans="2:14" ht="15.75" customHeight="1" x14ac:dyDescent="0.2">
      <c r="B889" s="7"/>
      <c r="F889" s="81"/>
      <c r="H889" s="156"/>
      <c r="N889" s="2"/>
    </row>
    <row r="890" spans="2:14" ht="15.75" customHeight="1" x14ac:dyDescent="0.2">
      <c r="B890" s="7"/>
      <c r="F890" s="81"/>
      <c r="H890" s="156"/>
      <c r="N890" s="2"/>
    </row>
    <row r="891" spans="2:14" ht="15.75" customHeight="1" x14ac:dyDescent="0.2">
      <c r="B891" s="7"/>
      <c r="F891" s="81"/>
      <c r="H891" s="156"/>
      <c r="N891" s="2"/>
    </row>
    <row r="892" spans="2:14" ht="15.75" customHeight="1" x14ac:dyDescent="0.2">
      <c r="B892" s="7"/>
      <c r="F892" s="81"/>
      <c r="H892" s="156"/>
      <c r="N892" s="2"/>
    </row>
    <row r="893" spans="2:14" ht="15.75" customHeight="1" x14ac:dyDescent="0.2">
      <c r="B893" s="7"/>
      <c r="F893" s="81"/>
      <c r="H893" s="156"/>
      <c r="N893" s="2"/>
    </row>
    <row r="894" spans="2:14" ht="15.75" customHeight="1" x14ac:dyDescent="0.2">
      <c r="B894" s="7"/>
      <c r="F894" s="81"/>
      <c r="H894" s="156"/>
      <c r="N894" s="2"/>
    </row>
    <row r="895" spans="2:14" ht="15.75" customHeight="1" x14ac:dyDescent="0.2">
      <c r="B895" s="7"/>
      <c r="F895" s="81"/>
      <c r="H895" s="156"/>
      <c r="N895" s="2"/>
    </row>
    <row r="896" spans="2:14" ht="15.75" customHeight="1" x14ac:dyDescent="0.2">
      <c r="B896" s="7"/>
      <c r="F896" s="81"/>
      <c r="H896" s="156"/>
      <c r="N896" s="2"/>
    </row>
    <row r="897" spans="2:14" ht="15.75" customHeight="1" x14ac:dyDescent="0.2">
      <c r="B897" s="7"/>
      <c r="F897" s="81"/>
      <c r="H897" s="156"/>
      <c r="N897" s="2"/>
    </row>
    <row r="898" spans="2:14" ht="15.75" customHeight="1" x14ac:dyDescent="0.2">
      <c r="B898" s="7"/>
      <c r="F898" s="81"/>
      <c r="H898" s="156"/>
      <c r="N898" s="2"/>
    </row>
    <row r="899" spans="2:14" ht="15.75" customHeight="1" x14ac:dyDescent="0.2">
      <c r="B899" s="7"/>
      <c r="F899" s="81"/>
      <c r="H899" s="156"/>
      <c r="N899" s="2"/>
    </row>
    <row r="900" spans="2:14" ht="15.75" customHeight="1" x14ac:dyDescent="0.2">
      <c r="B900" s="7"/>
      <c r="F900" s="81"/>
      <c r="H900" s="156"/>
      <c r="N900" s="2"/>
    </row>
    <row r="901" spans="2:14" ht="15.75" customHeight="1" x14ac:dyDescent="0.2">
      <c r="B901" s="7"/>
      <c r="F901" s="81"/>
      <c r="H901" s="156"/>
      <c r="N901" s="2"/>
    </row>
    <row r="902" spans="2:14" ht="15.75" customHeight="1" x14ac:dyDescent="0.2">
      <c r="B902" s="7"/>
      <c r="F902" s="81"/>
      <c r="H902" s="156"/>
      <c r="N902" s="2"/>
    </row>
    <row r="903" spans="2:14" ht="15.75" customHeight="1" x14ac:dyDescent="0.2">
      <c r="B903" s="7"/>
      <c r="F903" s="81"/>
      <c r="H903" s="156"/>
      <c r="N903" s="2"/>
    </row>
    <row r="904" spans="2:14" ht="15.75" customHeight="1" x14ac:dyDescent="0.2">
      <c r="B904" s="7"/>
      <c r="F904" s="81"/>
      <c r="H904" s="156"/>
      <c r="N904" s="2"/>
    </row>
    <row r="905" spans="2:14" ht="15.75" customHeight="1" x14ac:dyDescent="0.2">
      <c r="B905" s="7"/>
      <c r="F905" s="81"/>
      <c r="H905" s="156"/>
      <c r="N905" s="2"/>
    </row>
    <row r="906" spans="2:14" ht="15.75" customHeight="1" x14ac:dyDescent="0.2">
      <c r="B906" s="7"/>
      <c r="F906" s="81"/>
      <c r="H906" s="156"/>
      <c r="N906" s="2"/>
    </row>
    <row r="907" spans="2:14" ht="15.75" customHeight="1" x14ac:dyDescent="0.2">
      <c r="B907" s="7"/>
      <c r="F907" s="81"/>
      <c r="H907" s="156"/>
      <c r="N907" s="2"/>
    </row>
    <row r="908" spans="2:14" ht="15.75" customHeight="1" x14ac:dyDescent="0.2">
      <c r="B908" s="7"/>
      <c r="F908" s="81"/>
      <c r="H908" s="156"/>
      <c r="N908" s="2"/>
    </row>
    <row r="909" spans="2:14" ht="15.75" customHeight="1" x14ac:dyDescent="0.2">
      <c r="B909" s="7"/>
      <c r="F909" s="81"/>
      <c r="H909" s="156"/>
      <c r="N909" s="2"/>
    </row>
    <row r="910" spans="2:14" ht="15.75" customHeight="1" x14ac:dyDescent="0.2">
      <c r="B910" s="7"/>
      <c r="F910" s="81"/>
      <c r="H910" s="156"/>
      <c r="N910" s="2"/>
    </row>
    <row r="911" spans="2:14" ht="15.75" customHeight="1" x14ac:dyDescent="0.2">
      <c r="B911" s="7"/>
      <c r="F911" s="81"/>
      <c r="H911" s="156"/>
      <c r="N911" s="2"/>
    </row>
    <row r="912" spans="2:14" ht="15.75" customHeight="1" x14ac:dyDescent="0.2">
      <c r="B912" s="7"/>
      <c r="F912" s="81"/>
      <c r="H912" s="156"/>
      <c r="N912" s="2"/>
    </row>
    <row r="913" spans="2:14" ht="15.75" customHeight="1" x14ac:dyDescent="0.2">
      <c r="B913" s="7"/>
      <c r="F913" s="81"/>
      <c r="H913" s="156"/>
      <c r="N913" s="2"/>
    </row>
    <row r="914" spans="2:14" ht="15.75" customHeight="1" x14ac:dyDescent="0.2">
      <c r="B914" s="7"/>
      <c r="F914" s="81"/>
      <c r="H914" s="156"/>
      <c r="N914" s="2"/>
    </row>
    <row r="915" spans="2:14" ht="15.75" customHeight="1" x14ac:dyDescent="0.2">
      <c r="B915" s="7"/>
      <c r="F915" s="81"/>
      <c r="H915" s="156"/>
      <c r="N915" s="2"/>
    </row>
    <row r="916" spans="2:14" ht="15.75" customHeight="1" x14ac:dyDescent="0.2">
      <c r="B916" s="7"/>
      <c r="F916" s="81"/>
      <c r="H916" s="156"/>
      <c r="N916" s="2"/>
    </row>
    <row r="917" spans="2:14" ht="15.75" customHeight="1" x14ac:dyDescent="0.2">
      <c r="B917" s="7"/>
      <c r="F917" s="81"/>
      <c r="H917" s="156"/>
      <c r="N917" s="2"/>
    </row>
    <row r="918" spans="2:14" ht="15.75" customHeight="1" x14ac:dyDescent="0.2">
      <c r="B918" s="7"/>
      <c r="F918" s="81"/>
      <c r="H918" s="156"/>
      <c r="N918" s="2"/>
    </row>
    <row r="919" spans="2:14" ht="15.75" customHeight="1" x14ac:dyDescent="0.2">
      <c r="B919" s="7"/>
      <c r="F919" s="81"/>
      <c r="H919" s="156"/>
      <c r="N919" s="2"/>
    </row>
    <row r="920" spans="2:14" ht="15.75" customHeight="1" x14ac:dyDescent="0.2">
      <c r="B920" s="7"/>
      <c r="F920" s="81"/>
      <c r="H920" s="156"/>
      <c r="N920" s="2"/>
    </row>
    <row r="921" spans="2:14" ht="15.75" customHeight="1" x14ac:dyDescent="0.2">
      <c r="B921" s="7"/>
      <c r="F921" s="81"/>
      <c r="H921" s="156"/>
      <c r="N921" s="2"/>
    </row>
    <row r="922" spans="2:14" ht="15.75" customHeight="1" x14ac:dyDescent="0.2">
      <c r="B922" s="7"/>
      <c r="F922" s="81"/>
      <c r="H922" s="156"/>
      <c r="N922" s="2"/>
    </row>
    <row r="923" spans="2:14" ht="15.75" customHeight="1" x14ac:dyDescent="0.2">
      <c r="B923" s="7"/>
      <c r="F923" s="81"/>
      <c r="H923" s="156"/>
      <c r="N923" s="2"/>
    </row>
    <row r="924" spans="2:14" ht="15.75" customHeight="1" x14ac:dyDescent="0.2">
      <c r="B924" s="7"/>
      <c r="F924" s="81"/>
      <c r="H924" s="156"/>
      <c r="N924" s="2"/>
    </row>
    <row r="925" spans="2:14" ht="15.75" customHeight="1" x14ac:dyDescent="0.2">
      <c r="B925" s="7"/>
      <c r="F925" s="81"/>
      <c r="H925" s="156"/>
      <c r="N925" s="2"/>
    </row>
    <row r="926" spans="2:14" ht="15.75" customHeight="1" x14ac:dyDescent="0.2">
      <c r="B926" s="7"/>
      <c r="F926" s="81"/>
      <c r="H926" s="156"/>
      <c r="N926" s="2"/>
    </row>
    <row r="927" spans="2:14" ht="15.75" customHeight="1" x14ac:dyDescent="0.2">
      <c r="B927" s="7"/>
      <c r="F927" s="81"/>
      <c r="H927" s="156"/>
      <c r="N927" s="2"/>
    </row>
    <row r="928" spans="2:14" ht="15.75" customHeight="1" x14ac:dyDescent="0.2">
      <c r="B928" s="7"/>
      <c r="F928" s="81"/>
      <c r="H928" s="156"/>
      <c r="N928" s="2"/>
    </row>
    <row r="929" spans="2:14" ht="15.75" customHeight="1" x14ac:dyDescent="0.2">
      <c r="B929" s="7"/>
      <c r="F929" s="81"/>
      <c r="H929" s="156"/>
      <c r="N929" s="2"/>
    </row>
    <row r="930" spans="2:14" ht="15.75" customHeight="1" x14ac:dyDescent="0.2">
      <c r="B930" s="7"/>
      <c r="F930" s="81"/>
      <c r="H930" s="156"/>
      <c r="N930" s="2"/>
    </row>
    <row r="931" spans="2:14" ht="15.75" customHeight="1" x14ac:dyDescent="0.2">
      <c r="B931" s="7"/>
      <c r="F931" s="81"/>
      <c r="H931" s="156"/>
      <c r="N931" s="2"/>
    </row>
    <row r="932" spans="2:14" ht="15.75" customHeight="1" x14ac:dyDescent="0.2">
      <c r="B932" s="7"/>
      <c r="F932" s="81"/>
      <c r="H932" s="156"/>
      <c r="N932" s="2"/>
    </row>
    <row r="933" spans="2:14" ht="15.75" customHeight="1" x14ac:dyDescent="0.2">
      <c r="B933" s="7"/>
      <c r="F933" s="81"/>
      <c r="H933" s="156"/>
      <c r="N933" s="2"/>
    </row>
    <row r="934" spans="2:14" ht="15.75" customHeight="1" x14ac:dyDescent="0.2">
      <c r="B934" s="7"/>
      <c r="F934" s="81"/>
      <c r="H934" s="156"/>
      <c r="N934" s="2"/>
    </row>
    <row r="935" spans="2:14" ht="15.75" customHeight="1" x14ac:dyDescent="0.2">
      <c r="B935" s="7"/>
      <c r="F935" s="81"/>
      <c r="H935" s="156"/>
      <c r="N935" s="2"/>
    </row>
    <row r="936" spans="2:14" ht="15.75" customHeight="1" x14ac:dyDescent="0.2">
      <c r="B936" s="7"/>
      <c r="F936" s="81"/>
      <c r="H936" s="156"/>
      <c r="N936" s="2"/>
    </row>
    <row r="937" spans="2:14" ht="15.75" customHeight="1" x14ac:dyDescent="0.2">
      <c r="B937" s="7"/>
      <c r="F937" s="81"/>
      <c r="H937" s="156"/>
      <c r="N937" s="2"/>
    </row>
    <row r="938" spans="2:14" ht="15.75" customHeight="1" x14ac:dyDescent="0.2">
      <c r="B938" s="7"/>
      <c r="F938" s="81"/>
      <c r="H938" s="156"/>
      <c r="N938" s="2"/>
    </row>
    <row r="939" spans="2:14" ht="15.75" customHeight="1" x14ac:dyDescent="0.2">
      <c r="B939" s="7"/>
      <c r="F939" s="81"/>
      <c r="H939" s="156"/>
      <c r="N939" s="2"/>
    </row>
    <row r="940" spans="2:14" ht="15.75" customHeight="1" x14ac:dyDescent="0.2">
      <c r="B940" s="7"/>
      <c r="F940" s="81"/>
      <c r="H940" s="156"/>
      <c r="N940" s="2"/>
    </row>
    <row r="941" spans="2:14" ht="15.75" customHeight="1" x14ac:dyDescent="0.2">
      <c r="B941" s="7"/>
      <c r="F941" s="81"/>
      <c r="H941" s="156"/>
      <c r="N941" s="2"/>
    </row>
    <row r="942" spans="2:14" ht="15.75" customHeight="1" x14ac:dyDescent="0.2">
      <c r="B942" s="7"/>
      <c r="F942" s="81"/>
      <c r="H942" s="156"/>
      <c r="N942" s="2"/>
    </row>
    <row r="943" spans="2:14" ht="15.75" customHeight="1" x14ac:dyDescent="0.2">
      <c r="B943" s="7"/>
      <c r="F943" s="81"/>
      <c r="H943" s="156"/>
      <c r="N943" s="2"/>
    </row>
    <row r="944" spans="2:14" ht="15.75" customHeight="1" x14ac:dyDescent="0.2">
      <c r="B944" s="7"/>
      <c r="F944" s="81"/>
      <c r="H944" s="156"/>
      <c r="N944" s="2"/>
    </row>
    <row r="945" spans="2:14" ht="15.75" customHeight="1" x14ac:dyDescent="0.2">
      <c r="B945" s="7"/>
      <c r="F945" s="81"/>
      <c r="H945" s="156"/>
      <c r="N945" s="2"/>
    </row>
    <row r="946" spans="2:14" ht="15.75" customHeight="1" x14ac:dyDescent="0.2">
      <c r="B946" s="7"/>
      <c r="F946" s="81"/>
      <c r="H946" s="156"/>
      <c r="N946" s="2"/>
    </row>
    <row r="947" spans="2:14" ht="15.75" customHeight="1" x14ac:dyDescent="0.2">
      <c r="B947" s="7"/>
      <c r="F947" s="81"/>
      <c r="H947" s="156"/>
      <c r="N947" s="2"/>
    </row>
    <row r="948" spans="2:14" ht="15.75" customHeight="1" x14ac:dyDescent="0.2">
      <c r="B948" s="7"/>
      <c r="F948" s="81"/>
      <c r="H948" s="156"/>
      <c r="N948" s="2"/>
    </row>
    <row r="949" spans="2:14" ht="15.75" customHeight="1" x14ac:dyDescent="0.2">
      <c r="B949" s="7"/>
      <c r="F949" s="81"/>
      <c r="H949" s="156"/>
      <c r="N949" s="2"/>
    </row>
    <row r="950" spans="2:14" ht="15.75" customHeight="1" x14ac:dyDescent="0.2">
      <c r="B950" s="7"/>
      <c r="F950" s="81"/>
      <c r="H950" s="156"/>
      <c r="N950" s="2"/>
    </row>
    <row r="951" spans="2:14" ht="15.75" customHeight="1" x14ac:dyDescent="0.2">
      <c r="B951" s="7"/>
      <c r="F951" s="81"/>
      <c r="H951" s="156"/>
      <c r="N951" s="2"/>
    </row>
    <row r="952" spans="2:14" ht="15.75" customHeight="1" x14ac:dyDescent="0.2">
      <c r="B952" s="7"/>
      <c r="F952" s="81"/>
      <c r="H952" s="156"/>
      <c r="N952" s="2"/>
    </row>
    <row r="953" spans="2:14" ht="15.75" customHeight="1" x14ac:dyDescent="0.2">
      <c r="B953" s="7"/>
      <c r="F953" s="81"/>
      <c r="H953" s="156"/>
      <c r="N953" s="2"/>
    </row>
    <row r="954" spans="2:14" ht="15.75" customHeight="1" x14ac:dyDescent="0.2">
      <c r="B954" s="7"/>
      <c r="F954" s="81"/>
      <c r="H954" s="156"/>
      <c r="N954" s="2"/>
    </row>
    <row r="955" spans="2:14" ht="15.75" customHeight="1" x14ac:dyDescent="0.2">
      <c r="B955" s="7"/>
      <c r="F955" s="81"/>
      <c r="H955" s="156"/>
      <c r="N955" s="2"/>
    </row>
    <row r="956" spans="2:14" ht="15.75" customHeight="1" x14ac:dyDescent="0.2">
      <c r="B956" s="7"/>
      <c r="F956" s="81"/>
      <c r="H956" s="156"/>
      <c r="N956" s="2"/>
    </row>
    <row r="957" spans="2:14" ht="15.75" customHeight="1" x14ac:dyDescent="0.2">
      <c r="B957" s="7"/>
      <c r="F957" s="81"/>
      <c r="H957" s="156"/>
      <c r="N957" s="2"/>
    </row>
    <row r="958" spans="2:14" ht="15.75" customHeight="1" x14ac:dyDescent="0.2">
      <c r="B958" s="7"/>
      <c r="F958" s="81"/>
      <c r="H958" s="156"/>
      <c r="N958" s="2"/>
    </row>
    <row r="959" spans="2:14" ht="15.75" customHeight="1" x14ac:dyDescent="0.2">
      <c r="B959" s="7"/>
      <c r="F959" s="81"/>
      <c r="H959" s="156"/>
      <c r="N959" s="2"/>
    </row>
    <row r="960" spans="2:14" ht="15.75" customHeight="1" x14ac:dyDescent="0.2">
      <c r="B960" s="7"/>
      <c r="F960" s="81"/>
      <c r="H960" s="156"/>
      <c r="N960" s="2"/>
    </row>
    <row r="961" spans="2:14" ht="15.75" customHeight="1" x14ac:dyDescent="0.2">
      <c r="B961" s="7"/>
      <c r="F961" s="81"/>
      <c r="H961" s="156"/>
      <c r="N961" s="2"/>
    </row>
    <row r="962" spans="2:14" ht="15.75" customHeight="1" x14ac:dyDescent="0.2">
      <c r="B962" s="7"/>
      <c r="F962" s="81"/>
      <c r="H962" s="156"/>
      <c r="N962" s="2"/>
    </row>
    <row r="963" spans="2:14" ht="15.75" customHeight="1" x14ac:dyDescent="0.2">
      <c r="B963" s="7"/>
      <c r="F963" s="81"/>
      <c r="H963" s="156"/>
      <c r="N963" s="2"/>
    </row>
    <row r="964" spans="2:14" ht="15.75" customHeight="1" x14ac:dyDescent="0.2">
      <c r="B964" s="7"/>
      <c r="F964" s="81"/>
      <c r="H964" s="156"/>
      <c r="N964" s="2"/>
    </row>
    <row r="965" spans="2:14" ht="15.75" customHeight="1" x14ac:dyDescent="0.2">
      <c r="B965" s="7"/>
      <c r="F965" s="81"/>
      <c r="H965" s="156"/>
      <c r="N965" s="2"/>
    </row>
    <row r="966" spans="2:14" ht="15.75" customHeight="1" x14ac:dyDescent="0.2">
      <c r="B966" s="7"/>
      <c r="F966" s="81"/>
      <c r="H966" s="156"/>
      <c r="N966" s="2"/>
    </row>
    <row r="967" spans="2:14" ht="15.75" customHeight="1" x14ac:dyDescent="0.2">
      <c r="B967" s="7"/>
      <c r="F967" s="81"/>
      <c r="H967" s="156"/>
      <c r="N967" s="2"/>
    </row>
    <row r="968" spans="2:14" ht="15.75" customHeight="1" x14ac:dyDescent="0.2">
      <c r="B968" s="7"/>
      <c r="F968" s="81"/>
      <c r="H968" s="156"/>
      <c r="N968" s="2"/>
    </row>
    <row r="969" spans="2:14" ht="15.75" customHeight="1" x14ac:dyDescent="0.2">
      <c r="B969" s="7"/>
      <c r="F969" s="81"/>
      <c r="H969" s="156"/>
      <c r="N969" s="2"/>
    </row>
    <row r="970" spans="2:14" ht="15.75" customHeight="1" x14ac:dyDescent="0.2">
      <c r="B970" s="7"/>
      <c r="F970" s="81"/>
      <c r="H970" s="156"/>
      <c r="N970" s="2"/>
    </row>
    <row r="971" spans="2:14" ht="15.75" customHeight="1" x14ac:dyDescent="0.2">
      <c r="B971" s="7"/>
      <c r="F971" s="81"/>
      <c r="H971" s="156"/>
      <c r="N971" s="2"/>
    </row>
    <row r="972" spans="2:14" ht="15.75" customHeight="1" x14ac:dyDescent="0.2">
      <c r="B972" s="7"/>
      <c r="F972" s="81"/>
      <c r="H972" s="156"/>
      <c r="N972" s="2"/>
    </row>
    <row r="973" spans="2:14" ht="15.75" customHeight="1" x14ac:dyDescent="0.2">
      <c r="B973" s="7"/>
      <c r="F973" s="81"/>
      <c r="H973" s="156"/>
      <c r="N973" s="2"/>
    </row>
    <row r="974" spans="2:14" ht="15.75" customHeight="1" x14ac:dyDescent="0.2">
      <c r="B974" s="7"/>
      <c r="F974" s="81"/>
      <c r="H974" s="156"/>
      <c r="N974" s="2"/>
    </row>
    <row r="975" spans="2:14" ht="15.75" customHeight="1" x14ac:dyDescent="0.2">
      <c r="B975" s="7"/>
      <c r="F975" s="81"/>
      <c r="H975" s="156"/>
      <c r="N975" s="2"/>
    </row>
    <row r="976" spans="2:14" ht="15.75" customHeight="1" x14ac:dyDescent="0.2">
      <c r="B976" s="7"/>
      <c r="F976" s="81"/>
      <c r="H976" s="156"/>
      <c r="N976" s="2"/>
    </row>
    <row r="977" spans="2:14" ht="15.75" customHeight="1" x14ac:dyDescent="0.2">
      <c r="B977" s="7"/>
      <c r="F977" s="81"/>
      <c r="H977" s="156"/>
      <c r="N977" s="2"/>
    </row>
    <row r="978" spans="2:14" ht="15.75" customHeight="1" x14ac:dyDescent="0.2">
      <c r="B978" s="7"/>
      <c r="F978" s="81"/>
      <c r="H978" s="156"/>
      <c r="N978" s="2"/>
    </row>
    <row r="979" spans="2:14" ht="15.75" customHeight="1" x14ac:dyDescent="0.2">
      <c r="B979" s="7"/>
      <c r="F979" s="81"/>
      <c r="H979" s="156"/>
      <c r="N979" s="2"/>
    </row>
    <row r="980" spans="2:14" ht="15.75" customHeight="1" x14ac:dyDescent="0.2">
      <c r="B980" s="7"/>
      <c r="F980" s="81"/>
      <c r="H980" s="156"/>
      <c r="N980" s="2"/>
    </row>
    <row r="981" spans="2:14" ht="15.75" customHeight="1" x14ac:dyDescent="0.2">
      <c r="B981" s="7"/>
      <c r="F981" s="81"/>
      <c r="H981" s="156"/>
      <c r="N981" s="2"/>
    </row>
    <row r="982" spans="2:14" ht="15.75" customHeight="1" x14ac:dyDescent="0.2">
      <c r="B982" s="7"/>
      <c r="F982" s="81"/>
      <c r="H982" s="156"/>
      <c r="N982" s="2"/>
    </row>
    <row r="983" spans="2:14" ht="15.75" customHeight="1" x14ac:dyDescent="0.2">
      <c r="B983" s="7"/>
      <c r="F983" s="81"/>
      <c r="H983" s="156"/>
      <c r="N983" s="2"/>
    </row>
    <row r="984" spans="2:14" ht="15.75" customHeight="1" x14ac:dyDescent="0.2">
      <c r="B984" s="7"/>
      <c r="F984" s="81"/>
      <c r="H984" s="156"/>
      <c r="N984" s="2"/>
    </row>
    <row r="985" spans="2:14" ht="15.75" customHeight="1" x14ac:dyDescent="0.2">
      <c r="B985" s="7"/>
      <c r="F985" s="81"/>
      <c r="H985" s="156"/>
      <c r="N985" s="2"/>
    </row>
    <row r="986" spans="2:14" ht="15.75" customHeight="1" x14ac:dyDescent="0.2">
      <c r="B986" s="7"/>
      <c r="F986" s="81"/>
      <c r="H986" s="156"/>
      <c r="N986" s="2"/>
    </row>
    <row r="987" spans="2:14" ht="15.75" customHeight="1" x14ac:dyDescent="0.2">
      <c r="B987" s="7"/>
      <c r="F987" s="81"/>
      <c r="H987" s="156"/>
      <c r="N987" s="2"/>
    </row>
    <row r="988" spans="2:14" ht="15.75" customHeight="1" x14ac:dyDescent="0.2">
      <c r="B988" s="7"/>
      <c r="F988" s="81"/>
      <c r="H988" s="156"/>
      <c r="N988" s="2"/>
    </row>
    <row r="989" spans="2:14" ht="15.75" customHeight="1" x14ac:dyDescent="0.2">
      <c r="B989" s="7"/>
      <c r="F989" s="81"/>
      <c r="H989" s="156"/>
      <c r="N989" s="2"/>
    </row>
    <row r="990" spans="2:14" ht="15.75" customHeight="1" x14ac:dyDescent="0.2">
      <c r="B990" s="7"/>
      <c r="F990" s="81"/>
      <c r="H990" s="156"/>
      <c r="N990" s="2"/>
    </row>
    <row r="991" spans="2:14" ht="15.75" customHeight="1" x14ac:dyDescent="0.2">
      <c r="B991" s="7"/>
      <c r="F991" s="81"/>
      <c r="H991" s="156"/>
      <c r="N991" s="2"/>
    </row>
    <row r="992" spans="2:14" ht="15.75" customHeight="1" x14ac:dyDescent="0.2">
      <c r="B992" s="7"/>
      <c r="F992" s="81"/>
      <c r="H992" s="156"/>
      <c r="N992" s="2"/>
    </row>
    <row r="993" spans="2:14" ht="15.75" customHeight="1" x14ac:dyDescent="0.2">
      <c r="B993" s="7"/>
      <c r="F993" s="81"/>
      <c r="H993" s="156"/>
      <c r="N993" s="2"/>
    </row>
    <row r="994" spans="2:14" ht="15.75" customHeight="1" x14ac:dyDescent="0.2">
      <c r="B994" s="7"/>
      <c r="F994" s="81"/>
      <c r="H994" s="156"/>
      <c r="N994" s="2"/>
    </row>
    <row r="995" spans="2:14" ht="15.75" customHeight="1" x14ac:dyDescent="0.2">
      <c r="B995" s="7"/>
      <c r="F995" s="81"/>
      <c r="H995" s="156"/>
      <c r="N995" s="2"/>
    </row>
    <row r="996" spans="2:14" ht="15.75" customHeight="1" x14ac:dyDescent="0.2">
      <c r="B996" s="7"/>
      <c r="F996" s="81"/>
      <c r="H996" s="156"/>
      <c r="N996" s="2"/>
    </row>
    <row r="997" spans="2:14" ht="15.75" customHeight="1" x14ac:dyDescent="0.2">
      <c r="B997" s="7"/>
      <c r="F997" s="81"/>
      <c r="H997" s="156"/>
      <c r="N997" s="2"/>
    </row>
    <row r="998" spans="2:14" ht="15.75" customHeight="1" x14ac:dyDescent="0.2">
      <c r="B998" s="7"/>
      <c r="F998" s="81"/>
      <c r="H998" s="156"/>
      <c r="N998" s="2"/>
    </row>
    <row r="999" spans="2:14" ht="15.75" customHeight="1" x14ac:dyDescent="0.2">
      <c r="B999" s="7"/>
      <c r="F999" s="81"/>
      <c r="H999" s="156"/>
      <c r="N999" s="2"/>
    </row>
    <row r="1000" spans="2:14" ht="15.75" customHeight="1" x14ac:dyDescent="0.2">
      <c r="B1000" s="7"/>
      <c r="F1000" s="81"/>
      <c r="H1000" s="156"/>
      <c r="N1000" s="2"/>
    </row>
  </sheetData>
  <mergeCells count="6">
    <mergeCell ref="A5:E5"/>
    <mergeCell ref="C2:E2"/>
    <mergeCell ref="A3:B3"/>
    <mergeCell ref="C3:E3"/>
    <mergeCell ref="A4:B4"/>
    <mergeCell ref="C4:E4"/>
  </mergeCells>
  <pageMargins left="0.2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J1" sqref="J1:J1048576"/>
    </sheetView>
  </sheetViews>
  <sheetFormatPr defaultColWidth="14.5" defaultRowHeight="15" customHeight="1" x14ac:dyDescent="0.2"/>
  <cols>
    <col min="1" max="1" width="12.1640625" customWidth="1"/>
    <col min="2" max="2" width="14.1640625" customWidth="1"/>
    <col min="3" max="3" width="13.83203125" customWidth="1"/>
    <col min="4" max="4" width="14.33203125" customWidth="1"/>
    <col min="5" max="5" width="21" customWidth="1"/>
    <col min="6" max="6" width="17.33203125" customWidth="1"/>
    <col min="7" max="7" width="27.83203125" customWidth="1"/>
    <col min="8" max="8" width="16.1640625" customWidth="1"/>
    <col min="9" max="9" width="86.1640625" customWidth="1"/>
    <col min="10" max="10" width="14.5" customWidth="1"/>
    <col min="11" max="11" width="22.83203125" customWidth="1"/>
    <col min="12" max="26" width="8.6640625" customWidth="1"/>
  </cols>
  <sheetData>
    <row r="1" spans="1:11" ht="12.75" customHeight="1" x14ac:dyDescent="0.2">
      <c r="A1" s="6" t="s">
        <v>91</v>
      </c>
      <c r="B1" s="6" t="s">
        <v>92</v>
      </c>
      <c r="C1" s="6" t="s">
        <v>93</v>
      </c>
      <c r="D1" s="6" t="s">
        <v>94</v>
      </c>
      <c r="E1" s="6" t="s">
        <v>95</v>
      </c>
      <c r="F1" s="6" t="s">
        <v>96</v>
      </c>
      <c r="G1" s="6" t="s">
        <v>97</v>
      </c>
      <c r="H1" s="6" t="s">
        <v>129</v>
      </c>
      <c r="I1" s="6" t="s">
        <v>98</v>
      </c>
      <c r="J1" s="6" t="s">
        <v>99</v>
      </c>
      <c r="K1" s="6" t="s">
        <v>100</v>
      </c>
    </row>
    <row r="2" spans="1:11" ht="12.75" customHeight="1" x14ac:dyDescent="0.2">
      <c r="A2" s="6" t="s">
        <v>101</v>
      </c>
      <c r="B2" s="6">
        <v>17</v>
      </c>
      <c r="C2" s="6">
        <v>13</v>
      </c>
      <c r="D2" s="6">
        <v>12</v>
      </c>
      <c r="E2" s="6">
        <v>78</v>
      </c>
      <c r="F2" s="6">
        <v>2652</v>
      </c>
      <c r="G2" s="6" t="s">
        <v>102</v>
      </c>
      <c r="H2" s="6">
        <v>2</v>
      </c>
      <c r="I2" s="6"/>
      <c r="J2" s="6">
        <v>12</v>
      </c>
      <c r="K2" s="6" t="s">
        <v>103</v>
      </c>
    </row>
    <row r="3" spans="1:11" ht="12.75" customHeight="1" x14ac:dyDescent="0.2">
      <c r="A3" s="6" t="s">
        <v>104</v>
      </c>
      <c r="B3" s="6">
        <v>21</v>
      </c>
      <c r="C3" s="6">
        <v>16</v>
      </c>
      <c r="D3" s="6">
        <v>15</v>
      </c>
      <c r="E3" s="6">
        <v>107</v>
      </c>
      <c r="F3" s="6">
        <v>5040</v>
      </c>
      <c r="G3" s="6" t="s">
        <v>105</v>
      </c>
      <c r="H3" s="6">
        <v>3</v>
      </c>
      <c r="I3" s="6"/>
      <c r="J3" s="6">
        <v>12</v>
      </c>
      <c r="K3" s="6" t="s">
        <v>103</v>
      </c>
    </row>
    <row r="4" spans="1:11" ht="12.75" customHeight="1" x14ac:dyDescent="0.2">
      <c r="A4" s="6" t="s">
        <v>106</v>
      </c>
      <c r="B4" s="6">
        <v>26</v>
      </c>
      <c r="C4" s="6">
        <v>23.5</v>
      </c>
      <c r="D4" s="6">
        <v>15.8</v>
      </c>
      <c r="E4" s="6">
        <v>195</v>
      </c>
      <c r="F4" s="6">
        <v>9654</v>
      </c>
      <c r="G4" s="6" t="s">
        <v>107</v>
      </c>
      <c r="H4" s="6">
        <v>8</v>
      </c>
      <c r="I4" s="6" t="s">
        <v>108</v>
      </c>
      <c r="J4" s="6">
        <v>24</v>
      </c>
      <c r="K4" s="6" t="s">
        <v>103</v>
      </c>
    </row>
    <row r="5" spans="1:11" ht="12.75" customHeight="1" x14ac:dyDescent="0.2">
      <c r="A5" s="6" t="s">
        <v>109</v>
      </c>
      <c r="B5" s="6">
        <v>32</v>
      </c>
      <c r="C5" s="6">
        <v>24</v>
      </c>
      <c r="D5" s="6">
        <v>28.5</v>
      </c>
      <c r="E5" s="6">
        <v>360</v>
      </c>
      <c r="F5" s="6">
        <v>21888</v>
      </c>
      <c r="G5" s="6" t="s">
        <v>110</v>
      </c>
      <c r="H5" s="6">
        <v>15</v>
      </c>
      <c r="I5" s="6"/>
      <c r="J5" s="6">
        <v>50</v>
      </c>
      <c r="K5" s="6" t="s">
        <v>103</v>
      </c>
    </row>
    <row r="6" spans="1:11" ht="12.75" customHeight="1" x14ac:dyDescent="0.2">
      <c r="A6" s="6" t="s">
        <v>111</v>
      </c>
      <c r="B6" s="6">
        <v>38</v>
      </c>
      <c r="C6" s="6">
        <v>27</v>
      </c>
      <c r="D6" s="6">
        <v>27</v>
      </c>
      <c r="E6" s="6">
        <v>350</v>
      </c>
      <c r="F6" s="6">
        <v>27702</v>
      </c>
      <c r="G6" s="6" t="s">
        <v>112</v>
      </c>
      <c r="H6" s="6">
        <v>17</v>
      </c>
      <c r="I6" s="6"/>
      <c r="J6" s="6">
        <v>60</v>
      </c>
      <c r="K6" s="6" t="s">
        <v>103</v>
      </c>
    </row>
    <row r="7" spans="1:11" ht="12.75" customHeight="1" x14ac:dyDescent="0.2">
      <c r="A7" s="6" t="s">
        <v>113</v>
      </c>
      <c r="B7" s="6">
        <v>39</v>
      </c>
      <c r="C7" s="6">
        <v>29</v>
      </c>
      <c r="D7" s="6">
        <v>31</v>
      </c>
      <c r="E7" s="6">
        <v>490</v>
      </c>
      <c r="F7" s="6">
        <v>35061</v>
      </c>
      <c r="G7" s="6" t="s">
        <v>130</v>
      </c>
      <c r="H7" s="6">
        <v>20</v>
      </c>
      <c r="I7" s="6" t="s">
        <v>114</v>
      </c>
      <c r="J7" s="6">
        <v>96</v>
      </c>
      <c r="K7" s="6" t="s">
        <v>103</v>
      </c>
    </row>
    <row r="8" spans="1:11" ht="12.75" customHeight="1" x14ac:dyDescent="0.2">
      <c r="A8" s="6" t="s">
        <v>115</v>
      </c>
      <c r="B8" s="6">
        <v>45</v>
      </c>
      <c r="C8" s="6">
        <v>39</v>
      </c>
      <c r="D8" s="6">
        <v>21</v>
      </c>
      <c r="E8" s="6">
        <v>400</v>
      </c>
      <c r="F8" s="6">
        <v>36855</v>
      </c>
      <c r="G8" s="6" t="s">
        <v>116</v>
      </c>
      <c r="H8" s="6">
        <v>20</v>
      </c>
      <c r="I8" s="6"/>
      <c r="J8" s="6">
        <v>100</v>
      </c>
      <c r="K8" s="6" t="s">
        <v>103</v>
      </c>
    </row>
    <row r="9" spans="1:11" ht="12.75" customHeight="1" x14ac:dyDescent="0.2">
      <c r="A9" s="6" t="s">
        <v>117</v>
      </c>
      <c r="B9" s="6">
        <v>39</v>
      </c>
      <c r="C9" s="6">
        <v>33</v>
      </c>
      <c r="D9" s="6">
        <v>43</v>
      </c>
      <c r="E9" s="6">
        <v>510</v>
      </c>
      <c r="F9" s="6">
        <v>55341</v>
      </c>
      <c r="G9" s="6" t="s">
        <v>118</v>
      </c>
      <c r="H9" s="6" t="s">
        <v>119</v>
      </c>
      <c r="I9" s="6" t="s">
        <v>132</v>
      </c>
      <c r="J9" s="6" t="s">
        <v>119</v>
      </c>
      <c r="K9" s="6" t="s">
        <v>134</v>
      </c>
    </row>
    <row r="10" spans="1:11" ht="12.75" customHeight="1" x14ac:dyDescent="0.2">
      <c r="A10" s="6" t="s">
        <v>120</v>
      </c>
      <c r="B10" s="6">
        <v>52</v>
      </c>
      <c r="C10" s="6">
        <v>33</v>
      </c>
      <c r="D10" s="6">
        <v>35</v>
      </c>
      <c r="E10" s="6">
        <v>800</v>
      </c>
      <c r="F10" s="6">
        <v>60060</v>
      </c>
      <c r="G10" s="6" t="s">
        <v>121</v>
      </c>
      <c r="H10" s="6" t="s">
        <v>119</v>
      </c>
      <c r="I10" s="6" t="s">
        <v>131</v>
      </c>
      <c r="J10" s="6" t="s">
        <v>119</v>
      </c>
      <c r="K10" s="6" t="s">
        <v>133</v>
      </c>
    </row>
    <row r="11" spans="1:11" ht="12.75" customHeight="1" x14ac:dyDescent="0.2"/>
    <row r="12" spans="1:11" ht="12.75" customHeight="1" x14ac:dyDescent="0.2"/>
    <row r="13" spans="1:11" ht="12.75" customHeight="1" x14ac:dyDescent="0.2"/>
    <row r="14" spans="1:11" ht="12.75" customHeight="1" x14ac:dyDescent="0.2"/>
    <row r="15" spans="1:11" ht="12.75" customHeight="1" x14ac:dyDescent="0.2"/>
    <row r="16" spans="1:1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workbookViewId="0">
      <selection activeCell="K1" sqref="K1:K1048576"/>
    </sheetView>
  </sheetViews>
  <sheetFormatPr defaultColWidth="14.5" defaultRowHeight="15" customHeight="1" x14ac:dyDescent="0.2"/>
  <cols>
    <col min="1" max="1" width="9.5" customWidth="1"/>
    <col min="2" max="2" width="33.5" customWidth="1"/>
    <col min="3" max="3" width="17.33203125" customWidth="1"/>
    <col min="4" max="4" width="12" customWidth="1"/>
    <col min="5" max="8" width="8.6640625" customWidth="1"/>
    <col min="9" max="9" width="27.33203125" customWidth="1"/>
    <col min="10" max="10" width="11.83203125" customWidth="1"/>
    <col min="11" max="11" width="10.6640625" style="206" customWidth="1"/>
    <col min="12" max="25" width="8.6640625" customWidth="1"/>
  </cols>
  <sheetData>
    <row r="1" spans="1:11" ht="12.75" customHeight="1" x14ac:dyDescent="0.2">
      <c r="A1" s="6" t="s">
        <v>122</v>
      </c>
      <c r="B1" s="6" t="s">
        <v>123</v>
      </c>
      <c r="C1" s="6" t="s">
        <v>9</v>
      </c>
      <c r="D1" s="7" t="s">
        <v>124</v>
      </c>
      <c r="E1" s="6" t="s">
        <v>13</v>
      </c>
      <c r="F1" s="6" t="s">
        <v>14</v>
      </c>
      <c r="G1" s="6" t="s">
        <v>15</v>
      </c>
      <c r="H1" s="6" t="s">
        <v>16</v>
      </c>
      <c r="I1" s="82" t="s">
        <v>17</v>
      </c>
      <c r="J1" s="6" t="s">
        <v>125</v>
      </c>
      <c r="K1" s="205" t="s">
        <v>19</v>
      </c>
    </row>
    <row r="2" spans="1:11" ht="12.75" customHeight="1" x14ac:dyDescent="0.2">
      <c r="A2" s="6" t="s">
        <v>20</v>
      </c>
      <c r="B2" s="6" t="s">
        <v>21</v>
      </c>
      <c r="C2" s="6">
        <v>0.191</v>
      </c>
      <c r="D2" s="6">
        <v>0.16300000000000001</v>
      </c>
      <c r="E2" s="6" t="s">
        <v>22</v>
      </c>
      <c r="F2" s="6">
        <v>50</v>
      </c>
      <c r="G2" s="6">
        <v>50</v>
      </c>
      <c r="H2" s="6">
        <v>146</v>
      </c>
      <c r="I2" s="82">
        <v>365</v>
      </c>
      <c r="J2" s="6">
        <v>200</v>
      </c>
      <c r="K2" s="205">
        <v>0.81499999999999995</v>
      </c>
    </row>
    <row r="3" spans="1:11" ht="12.75" customHeight="1" x14ac:dyDescent="0.2">
      <c r="A3" s="6" t="s">
        <v>23</v>
      </c>
      <c r="B3" s="6" t="s">
        <v>24</v>
      </c>
      <c r="C3" s="6">
        <v>0.505</v>
      </c>
      <c r="D3" s="6">
        <v>0.5</v>
      </c>
      <c r="E3" s="6" t="s">
        <v>3</v>
      </c>
      <c r="F3" s="6">
        <v>130</v>
      </c>
      <c r="G3" s="6">
        <v>230</v>
      </c>
      <c r="H3" s="6">
        <v>21</v>
      </c>
      <c r="I3" s="82">
        <v>613.49693251533745</v>
      </c>
      <c r="J3" s="6">
        <v>500</v>
      </c>
      <c r="K3" s="205">
        <v>0.81499999999999995</v>
      </c>
    </row>
    <row r="4" spans="1:11" ht="12.75" customHeight="1" x14ac:dyDescent="0.2">
      <c r="A4" s="6" t="s">
        <v>25</v>
      </c>
      <c r="B4" s="6" t="s">
        <v>26</v>
      </c>
      <c r="C4" s="6">
        <v>1.0069999999999999</v>
      </c>
      <c r="D4" s="6">
        <v>1</v>
      </c>
      <c r="E4" s="6" t="s">
        <v>5</v>
      </c>
      <c r="F4" s="6">
        <v>130</v>
      </c>
      <c r="G4" s="6">
        <v>280</v>
      </c>
      <c r="H4" s="6">
        <v>34</v>
      </c>
      <c r="I4" s="82">
        <v>1226.9938650306749</v>
      </c>
      <c r="J4" s="6">
        <v>1000</v>
      </c>
      <c r="K4" s="205">
        <v>0.81499999999999995</v>
      </c>
    </row>
    <row r="5" spans="1:11" ht="12.75" customHeight="1" x14ac:dyDescent="0.2">
      <c r="A5" s="6" t="s">
        <v>27</v>
      </c>
      <c r="B5" s="6" t="s">
        <v>28</v>
      </c>
      <c r="C5" s="6">
        <v>0.76</v>
      </c>
      <c r="D5" s="6">
        <v>0.75</v>
      </c>
      <c r="E5" s="6" t="s">
        <v>29</v>
      </c>
      <c r="F5" s="6">
        <v>130</v>
      </c>
      <c r="G5" s="6">
        <v>280</v>
      </c>
      <c r="H5" s="6">
        <v>25</v>
      </c>
      <c r="I5" s="82">
        <v>920.24539877300617</v>
      </c>
      <c r="J5" s="6">
        <v>750</v>
      </c>
      <c r="K5" s="205">
        <v>0.81499999999999995</v>
      </c>
    </row>
    <row r="6" spans="1:11" ht="12.75" customHeight="1" x14ac:dyDescent="0.2">
      <c r="A6" s="6" t="s">
        <v>30</v>
      </c>
      <c r="B6" s="6" t="s">
        <v>31</v>
      </c>
      <c r="C6" s="6">
        <v>0.187</v>
      </c>
      <c r="D6" s="6">
        <v>0.159</v>
      </c>
      <c r="E6" s="6" t="s">
        <v>22</v>
      </c>
      <c r="F6" s="6">
        <v>50</v>
      </c>
      <c r="G6" s="6">
        <v>50</v>
      </c>
      <c r="H6" s="6">
        <v>14.8</v>
      </c>
      <c r="I6" s="82">
        <v>37</v>
      </c>
      <c r="J6" s="6">
        <v>200</v>
      </c>
      <c r="K6" s="205">
        <v>0.93500000000000005</v>
      </c>
    </row>
    <row r="7" spans="1:11" ht="12.75" customHeight="1" x14ac:dyDescent="0.2">
      <c r="A7" s="6" t="s">
        <v>32</v>
      </c>
      <c r="B7" s="6" t="s">
        <v>33</v>
      </c>
      <c r="C7" s="6">
        <v>0.505</v>
      </c>
      <c r="D7" s="6">
        <v>0.5</v>
      </c>
      <c r="E7" s="6" t="s">
        <v>3</v>
      </c>
      <c r="F7" s="6">
        <v>130</v>
      </c>
      <c r="G7" s="6">
        <v>230</v>
      </c>
      <c r="H7" s="6">
        <v>21</v>
      </c>
      <c r="I7" s="82">
        <v>534.75935828877004</v>
      </c>
      <c r="J7" s="6">
        <v>500</v>
      </c>
      <c r="K7" s="205">
        <v>0.93500000000000005</v>
      </c>
    </row>
    <row r="8" spans="1:11" ht="12.75" customHeight="1" x14ac:dyDescent="0.2">
      <c r="A8" s="6" t="s">
        <v>34</v>
      </c>
      <c r="B8" s="6" t="s">
        <v>35</v>
      </c>
      <c r="C8" s="6">
        <v>1.0069999999999999</v>
      </c>
      <c r="D8" s="6">
        <v>1</v>
      </c>
      <c r="E8" s="6" t="s">
        <v>5</v>
      </c>
      <c r="F8" s="6">
        <v>130</v>
      </c>
      <c r="G8" s="6">
        <v>280</v>
      </c>
      <c r="H8" s="6">
        <v>34</v>
      </c>
      <c r="I8" s="82">
        <v>1069.5187165775401</v>
      </c>
      <c r="J8" s="6">
        <v>1000</v>
      </c>
      <c r="K8" s="205">
        <v>0.93500000000000005</v>
      </c>
    </row>
    <row r="9" spans="1:11" ht="12.75" customHeight="1" x14ac:dyDescent="0.2">
      <c r="A9" s="6" t="s">
        <v>36</v>
      </c>
      <c r="B9" s="6" t="s">
        <v>37</v>
      </c>
      <c r="C9" s="6">
        <v>0.19400000000000001</v>
      </c>
      <c r="D9" s="6">
        <v>0.16600000000000001</v>
      </c>
      <c r="E9" s="6" t="s">
        <v>22</v>
      </c>
      <c r="F9" s="6">
        <v>50</v>
      </c>
      <c r="G9" s="6">
        <v>50</v>
      </c>
      <c r="H9" s="6">
        <v>146</v>
      </c>
      <c r="I9" s="82">
        <v>365</v>
      </c>
      <c r="J9" s="6">
        <v>200</v>
      </c>
      <c r="K9" s="205">
        <v>0.83</v>
      </c>
    </row>
    <row r="10" spans="1:11" ht="12.75" customHeight="1" x14ac:dyDescent="0.2">
      <c r="A10" s="6" t="s">
        <v>38</v>
      </c>
      <c r="B10" s="6" t="s">
        <v>39</v>
      </c>
      <c r="C10" s="6">
        <v>0.505</v>
      </c>
      <c r="D10" s="6">
        <v>0.5</v>
      </c>
      <c r="E10" s="6" t="s">
        <v>3</v>
      </c>
      <c r="F10" s="6">
        <v>130</v>
      </c>
      <c r="G10" s="6">
        <v>230</v>
      </c>
      <c r="H10" s="6">
        <v>21</v>
      </c>
      <c r="I10" s="82">
        <v>602.40963855421694</v>
      </c>
      <c r="J10" s="6">
        <v>500</v>
      </c>
      <c r="K10" s="205">
        <v>0.83</v>
      </c>
    </row>
    <row r="11" spans="1:11" ht="12.75" customHeight="1" x14ac:dyDescent="0.2">
      <c r="A11" s="6" t="s">
        <v>40</v>
      </c>
      <c r="B11" s="6" t="s">
        <v>41</v>
      </c>
      <c r="C11" s="6">
        <v>1.0069999999999999</v>
      </c>
      <c r="D11" s="6">
        <v>1</v>
      </c>
      <c r="E11" s="6" t="s">
        <v>5</v>
      </c>
      <c r="F11" s="6">
        <v>130</v>
      </c>
      <c r="G11" s="6">
        <v>280</v>
      </c>
      <c r="H11" s="6">
        <v>34</v>
      </c>
      <c r="I11" s="82">
        <v>1204.8192771084339</v>
      </c>
      <c r="J11" s="6">
        <v>1000</v>
      </c>
      <c r="K11" s="205">
        <v>0.83</v>
      </c>
    </row>
    <row r="12" spans="1:11" ht="12.75" customHeight="1" x14ac:dyDescent="0.2">
      <c r="A12" s="6" t="s">
        <v>42</v>
      </c>
      <c r="B12" s="6" t="s">
        <v>43</v>
      </c>
      <c r="C12" s="6">
        <v>0.76</v>
      </c>
      <c r="D12" s="6">
        <v>0.75</v>
      </c>
      <c r="E12" s="6" t="s">
        <v>29</v>
      </c>
      <c r="F12" s="6">
        <v>130</v>
      </c>
      <c r="G12" s="6">
        <v>280</v>
      </c>
      <c r="H12" s="6">
        <v>25</v>
      </c>
      <c r="I12" s="82">
        <f>J12/K12</f>
        <v>903.61445783132535</v>
      </c>
      <c r="J12" s="6">
        <v>750</v>
      </c>
      <c r="K12" s="205">
        <v>0.83</v>
      </c>
    </row>
    <row r="13" spans="1:11" ht="12.75" customHeight="1" x14ac:dyDescent="0.2">
      <c r="A13" s="6" t="s">
        <v>44</v>
      </c>
      <c r="B13" s="6" t="s">
        <v>45</v>
      </c>
      <c r="C13" s="6">
        <v>0.17699999999999999</v>
      </c>
      <c r="D13" s="6">
        <v>0.14899999999999999</v>
      </c>
      <c r="E13" s="6" t="s">
        <v>22</v>
      </c>
      <c r="F13" s="6">
        <v>50</v>
      </c>
      <c r="G13" s="6">
        <v>50</v>
      </c>
      <c r="H13" s="6">
        <v>146</v>
      </c>
      <c r="I13" s="82">
        <v>365</v>
      </c>
      <c r="J13" s="6">
        <v>200</v>
      </c>
      <c r="K13" s="205">
        <v>0.745</v>
      </c>
    </row>
    <row r="14" spans="1:11" ht="12.75" customHeight="1" x14ac:dyDescent="0.2">
      <c r="A14" s="6" t="s">
        <v>46</v>
      </c>
      <c r="B14" s="6" t="s">
        <v>47</v>
      </c>
      <c r="C14" s="6">
        <v>0.505</v>
      </c>
      <c r="D14" s="6">
        <v>0.5</v>
      </c>
      <c r="E14" s="6" t="s">
        <v>3</v>
      </c>
      <c r="F14" s="6">
        <v>250</v>
      </c>
      <c r="G14" s="6">
        <v>150</v>
      </c>
      <c r="H14" s="6">
        <v>30</v>
      </c>
      <c r="I14" s="82">
        <v>671.14093959731542</v>
      </c>
      <c r="J14" s="6">
        <v>500</v>
      </c>
      <c r="K14" s="205">
        <v>0.745</v>
      </c>
    </row>
    <row r="15" spans="1:11" ht="12.75" customHeight="1" x14ac:dyDescent="0.2">
      <c r="A15" s="6" t="s">
        <v>48</v>
      </c>
      <c r="B15" s="6" t="s">
        <v>49</v>
      </c>
      <c r="C15" s="6">
        <v>1.0069999999999999</v>
      </c>
      <c r="D15" s="6">
        <v>1</v>
      </c>
      <c r="E15" s="6" t="s">
        <v>5</v>
      </c>
      <c r="F15" s="6">
        <v>130</v>
      </c>
      <c r="G15" s="6">
        <v>280</v>
      </c>
      <c r="H15" s="6">
        <v>35</v>
      </c>
      <c r="I15" s="82">
        <v>1342.2818791946308</v>
      </c>
      <c r="J15" s="6">
        <v>1000</v>
      </c>
      <c r="K15" s="205">
        <v>0.745</v>
      </c>
    </row>
    <row r="16" spans="1:11" ht="12.75" customHeight="1" x14ac:dyDescent="0.2">
      <c r="A16" s="6" t="s">
        <v>50</v>
      </c>
      <c r="B16" s="6" t="s">
        <v>51</v>
      </c>
      <c r="C16" s="6">
        <v>0.186</v>
      </c>
      <c r="D16" s="6">
        <v>3</v>
      </c>
      <c r="E16" s="6" t="s">
        <v>52</v>
      </c>
      <c r="F16" s="6">
        <v>100</v>
      </c>
      <c r="G16" s="6">
        <v>95</v>
      </c>
      <c r="H16" s="6">
        <v>63</v>
      </c>
      <c r="I16" s="82">
        <v>598.5</v>
      </c>
      <c r="J16" s="6">
        <v>280</v>
      </c>
      <c r="K16" s="205">
        <v>0.58571428571428574</v>
      </c>
    </row>
    <row r="17" spans="1:11" ht="12.75" customHeight="1" x14ac:dyDescent="0.2">
      <c r="A17" s="6" t="s">
        <v>53</v>
      </c>
      <c r="B17" s="6" t="s">
        <v>54</v>
      </c>
      <c r="C17" s="6">
        <v>0.505</v>
      </c>
      <c r="D17" s="6">
        <v>0.5</v>
      </c>
      <c r="E17" s="6" t="s">
        <v>3</v>
      </c>
      <c r="F17" s="6">
        <v>130</v>
      </c>
      <c r="G17" s="6">
        <v>280</v>
      </c>
      <c r="H17" s="6">
        <v>24</v>
      </c>
      <c r="I17" s="82">
        <v>791.13924050632909</v>
      </c>
      <c r="J17" s="6">
        <v>500</v>
      </c>
      <c r="K17" s="205">
        <v>0.63200000000000001</v>
      </c>
    </row>
    <row r="18" spans="1:11" ht="12.75" customHeight="1" x14ac:dyDescent="0.2">
      <c r="A18" s="6" t="s">
        <v>55</v>
      </c>
      <c r="B18" s="6" t="s">
        <v>56</v>
      </c>
      <c r="C18" s="6">
        <v>1.0069999999999999</v>
      </c>
      <c r="D18" s="6">
        <v>1</v>
      </c>
      <c r="E18" s="6" t="s">
        <v>5</v>
      </c>
      <c r="F18" s="6">
        <v>180</v>
      </c>
      <c r="G18" s="6">
        <v>280</v>
      </c>
      <c r="H18" s="6">
        <v>34</v>
      </c>
      <c r="I18" s="82">
        <v>1582.2784810126582</v>
      </c>
      <c r="J18" s="6">
        <v>1000</v>
      </c>
      <c r="K18" s="205">
        <v>0.63200000000000001</v>
      </c>
    </row>
    <row r="19" spans="1:11" ht="12.75" customHeight="1" x14ac:dyDescent="0.2">
      <c r="A19" s="6" t="s">
        <v>57</v>
      </c>
      <c r="B19" s="6" t="s">
        <v>58</v>
      </c>
      <c r="C19" s="6">
        <v>0.217</v>
      </c>
      <c r="D19" s="6">
        <v>0.189</v>
      </c>
      <c r="E19" s="6" t="s">
        <v>22</v>
      </c>
      <c r="F19" s="6">
        <v>50</v>
      </c>
      <c r="G19" s="6">
        <v>50</v>
      </c>
      <c r="H19" s="6">
        <v>146</v>
      </c>
      <c r="I19" s="82">
        <v>365</v>
      </c>
      <c r="J19" s="6">
        <v>200</v>
      </c>
      <c r="K19" s="205">
        <v>0.94499999999999995</v>
      </c>
    </row>
    <row r="20" spans="1:11" ht="12.75" customHeight="1" x14ac:dyDescent="0.2">
      <c r="A20" s="6" t="s">
        <v>59</v>
      </c>
      <c r="B20" s="6" t="s">
        <v>60</v>
      </c>
      <c r="C20" s="6">
        <v>0.505</v>
      </c>
      <c r="D20" s="6">
        <v>0.5</v>
      </c>
      <c r="E20" s="6" t="s">
        <v>3</v>
      </c>
      <c r="F20" s="6">
        <v>130</v>
      </c>
      <c r="G20" s="6">
        <v>230</v>
      </c>
      <c r="H20" s="6">
        <v>18</v>
      </c>
      <c r="I20" s="82">
        <v>529.10052910052912</v>
      </c>
      <c r="J20" s="6">
        <v>500</v>
      </c>
      <c r="K20" s="205">
        <v>0.94499999999999995</v>
      </c>
    </row>
    <row r="21" spans="1:11" ht="12.75" customHeight="1" x14ac:dyDescent="0.2">
      <c r="A21" s="6" t="s">
        <v>61</v>
      </c>
      <c r="B21" s="6" t="s">
        <v>62</v>
      </c>
      <c r="C21" s="6">
        <v>1.0069999999999999</v>
      </c>
      <c r="D21" s="6">
        <v>1</v>
      </c>
      <c r="E21" s="6" t="s">
        <v>5</v>
      </c>
      <c r="F21" s="6">
        <v>130</v>
      </c>
      <c r="G21" s="6">
        <v>280</v>
      </c>
      <c r="H21" s="6">
        <v>29</v>
      </c>
      <c r="I21" s="82">
        <v>1058.2010582010582</v>
      </c>
      <c r="J21" s="6">
        <v>1000</v>
      </c>
      <c r="K21" s="205">
        <v>0.94499999999999995</v>
      </c>
    </row>
    <row r="22" spans="1:11" ht="12.75" customHeight="1" x14ac:dyDescent="0.2">
      <c r="A22" s="6" t="s">
        <v>63</v>
      </c>
      <c r="B22" s="6" t="s">
        <v>64</v>
      </c>
      <c r="C22" s="6">
        <v>9.9000000000000005E-2</v>
      </c>
      <c r="D22" s="6">
        <v>7.1000000000000008E-2</v>
      </c>
      <c r="E22" s="6" t="s">
        <v>22</v>
      </c>
      <c r="F22" s="6">
        <v>50</v>
      </c>
      <c r="G22" s="6">
        <v>50</v>
      </c>
      <c r="H22" s="6">
        <v>146</v>
      </c>
      <c r="I22" s="82">
        <v>365</v>
      </c>
      <c r="J22" s="6">
        <v>200</v>
      </c>
      <c r="K22" s="205">
        <v>0.35500000000000009</v>
      </c>
    </row>
    <row r="23" spans="1:11" ht="12.75" customHeight="1" x14ac:dyDescent="0.2">
      <c r="A23" s="6" t="s">
        <v>65</v>
      </c>
      <c r="B23" s="6" t="s">
        <v>66</v>
      </c>
      <c r="C23" s="6">
        <v>0.505</v>
      </c>
      <c r="D23" s="6">
        <v>0.5</v>
      </c>
      <c r="E23" s="6" t="s">
        <v>3</v>
      </c>
      <c r="F23" s="6">
        <v>130</v>
      </c>
      <c r="G23" s="6">
        <v>280</v>
      </c>
      <c r="H23" s="6">
        <v>40</v>
      </c>
      <c r="I23" s="82">
        <v>1408.4507042253522</v>
      </c>
      <c r="J23" s="6">
        <v>500</v>
      </c>
      <c r="K23" s="205">
        <v>0.35499999999999998</v>
      </c>
    </row>
    <row r="24" spans="1:11" ht="12.75" customHeight="1" x14ac:dyDescent="0.2">
      <c r="A24" s="6" t="s">
        <v>67</v>
      </c>
      <c r="B24" s="6" t="s">
        <v>68</v>
      </c>
      <c r="C24" s="6">
        <v>0.22</v>
      </c>
      <c r="D24" s="6">
        <v>0.192</v>
      </c>
      <c r="E24" s="6" t="s">
        <v>22</v>
      </c>
      <c r="F24" s="6">
        <v>50</v>
      </c>
      <c r="G24" s="6">
        <v>50</v>
      </c>
      <c r="H24" s="6">
        <v>146</v>
      </c>
      <c r="I24" s="82">
        <v>365</v>
      </c>
      <c r="J24" s="6">
        <v>200</v>
      </c>
      <c r="K24" s="205">
        <v>0.81499999999999995</v>
      </c>
    </row>
    <row r="25" spans="1:11" ht="12.75" customHeight="1" x14ac:dyDescent="0.2">
      <c r="A25" s="6" t="s">
        <v>69</v>
      </c>
      <c r="B25" s="6" t="s">
        <v>70</v>
      </c>
      <c r="C25" s="6">
        <v>0.505</v>
      </c>
      <c r="D25" s="6">
        <v>0.5</v>
      </c>
      <c r="E25" s="6" t="s">
        <v>3</v>
      </c>
      <c r="F25" s="6">
        <v>130</v>
      </c>
      <c r="G25" s="6">
        <v>230</v>
      </c>
      <c r="H25" s="6">
        <v>18</v>
      </c>
      <c r="I25" s="82">
        <v>613.49693251533745</v>
      </c>
      <c r="J25" s="6">
        <v>500</v>
      </c>
      <c r="K25" s="205">
        <v>0.81499999999999995</v>
      </c>
    </row>
    <row r="26" spans="1:11" ht="12.75" customHeight="1" x14ac:dyDescent="0.2">
      <c r="A26" s="6" t="s">
        <v>71</v>
      </c>
      <c r="B26" s="6" t="s">
        <v>72</v>
      </c>
      <c r="C26" s="6">
        <v>1.0069999999999999</v>
      </c>
      <c r="D26" s="6">
        <v>1</v>
      </c>
      <c r="E26" s="6" t="s">
        <v>5</v>
      </c>
      <c r="F26" s="6">
        <v>130</v>
      </c>
      <c r="G26" s="6">
        <v>280</v>
      </c>
      <c r="H26" s="6">
        <v>29</v>
      </c>
      <c r="I26" s="82">
        <v>1226.9938650306749</v>
      </c>
      <c r="J26" s="6">
        <v>1000</v>
      </c>
      <c r="K26" s="205">
        <v>0.81499999999999995</v>
      </c>
    </row>
    <row r="27" spans="1:11" ht="12.75" customHeight="1" x14ac:dyDescent="0.2">
      <c r="A27" s="6" t="s">
        <v>73</v>
      </c>
      <c r="B27" s="6" t="s">
        <v>74</v>
      </c>
      <c r="C27" s="6">
        <v>0.106</v>
      </c>
      <c r="D27" s="6">
        <v>7.8E-2</v>
      </c>
      <c r="E27" s="6" t="s">
        <v>75</v>
      </c>
      <c r="F27" s="6">
        <v>45</v>
      </c>
      <c r="G27" s="6">
        <v>45</v>
      </c>
      <c r="H27" s="6">
        <v>114</v>
      </c>
      <c r="I27" s="82">
        <v>230.85</v>
      </c>
      <c r="J27" s="6">
        <v>100</v>
      </c>
      <c r="K27" s="205">
        <v>0.39</v>
      </c>
    </row>
    <row r="28" spans="1:11" ht="12.75" customHeight="1" x14ac:dyDescent="0.2">
      <c r="A28" s="6" t="s">
        <v>76</v>
      </c>
      <c r="B28" s="6" t="s">
        <v>77</v>
      </c>
      <c r="C28" s="6">
        <v>0.112</v>
      </c>
      <c r="D28" s="6">
        <v>8.4000000000000005E-2</v>
      </c>
      <c r="E28" s="6" t="s">
        <v>75</v>
      </c>
      <c r="F28" s="6">
        <v>45</v>
      </c>
      <c r="G28" s="6">
        <v>45</v>
      </c>
      <c r="H28" s="6">
        <v>114</v>
      </c>
      <c r="I28" s="82">
        <v>230.85</v>
      </c>
      <c r="J28" s="6">
        <v>100</v>
      </c>
      <c r="K28" s="205">
        <v>0.42</v>
      </c>
    </row>
    <row r="29" spans="1:11" ht="12.75" customHeight="1" x14ac:dyDescent="0.2">
      <c r="A29" s="6" t="s">
        <v>78</v>
      </c>
      <c r="B29" s="6" t="s">
        <v>79</v>
      </c>
      <c r="C29" s="6">
        <v>0.11799999999999999</v>
      </c>
      <c r="D29" s="6">
        <v>0.09</v>
      </c>
      <c r="E29" s="6" t="s">
        <v>75</v>
      </c>
      <c r="F29" s="6">
        <v>45</v>
      </c>
      <c r="G29" s="6">
        <v>45</v>
      </c>
      <c r="H29" s="6">
        <v>114</v>
      </c>
      <c r="I29" s="82">
        <v>230.85</v>
      </c>
      <c r="J29" s="6">
        <v>100</v>
      </c>
      <c r="K29" s="205">
        <v>0.81499999999999995</v>
      </c>
    </row>
    <row r="30" spans="1:11" ht="12.75" customHeight="1" x14ac:dyDescent="0.2">
      <c r="A30" s="6" t="s">
        <v>80</v>
      </c>
      <c r="B30" s="6" t="s">
        <v>81</v>
      </c>
      <c r="C30" s="6">
        <v>0.11</v>
      </c>
      <c r="D30" s="6">
        <v>8.2000000000000003E-2</v>
      </c>
      <c r="E30" s="6" t="s">
        <v>75</v>
      </c>
      <c r="F30" s="6">
        <v>45</v>
      </c>
      <c r="G30" s="6">
        <v>45</v>
      </c>
      <c r="H30" s="6">
        <v>114</v>
      </c>
      <c r="I30" s="82">
        <v>230.85</v>
      </c>
      <c r="J30" s="6">
        <v>100</v>
      </c>
      <c r="K30" s="205">
        <v>0.81499999999999995</v>
      </c>
    </row>
    <row r="31" spans="1:11" ht="12.75" customHeight="1" x14ac:dyDescent="0.2">
      <c r="A31" s="6" t="s">
        <v>82</v>
      </c>
      <c r="B31" s="6" t="s">
        <v>83</v>
      </c>
      <c r="C31" s="6">
        <v>0.114</v>
      </c>
      <c r="D31" s="6">
        <v>8.6000000000000007E-2</v>
      </c>
      <c r="E31" s="6" t="s">
        <v>75</v>
      </c>
      <c r="F31" s="6">
        <v>45</v>
      </c>
      <c r="G31" s="6">
        <v>45</v>
      </c>
      <c r="H31" s="6">
        <v>114</v>
      </c>
      <c r="I31" s="82">
        <v>230.85</v>
      </c>
      <c r="J31" s="6">
        <v>100</v>
      </c>
      <c r="K31" s="205">
        <v>0.81499999999999995</v>
      </c>
    </row>
    <row r="32" spans="1:11" ht="12.75" customHeight="1" x14ac:dyDescent="0.2">
      <c r="A32" s="6" t="s">
        <v>84</v>
      </c>
      <c r="B32" s="6" t="s">
        <v>85</v>
      </c>
      <c r="C32" s="6">
        <v>0.12</v>
      </c>
      <c r="D32" s="6">
        <v>9.1999999999999998E-2</v>
      </c>
      <c r="E32" s="6" t="s">
        <v>75</v>
      </c>
      <c r="F32" s="6">
        <v>45</v>
      </c>
      <c r="G32" s="6">
        <v>45</v>
      </c>
      <c r="H32" s="6">
        <v>114</v>
      </c>
      <c r="I32" s="82">
        <v>230.85</v>
      </c>
      <c r="J32" s="6">
        <v>100</v>
      </c>
      <c r="K32" s="205">
        <v>0.81499999999999995</v>
      </c>
    </row>
    <row r="33" spans="1:11" ht="12.75" customHeight="1" x14ac:dyDescent="0.2">
      <c r="A33" s="6" t="s">
        <v>86</v>
      </c>
      <c r="B33" s="6" t="s">
        <v>87</v>
      </c>
      <c r="C33" s="6">
        <v>0.41</v>
      </c>
      <c r="D33" s="6">
        <v>0.37</v>
      </c>
      <c r="E33" s="6" t="s">
        <v>88</v>
      </c>
      <c r="F33" s="6">
        <v>62</v>
      </c>
      <c r="G33" s="6">
        <v>62</v>
      </c>
      <c r="H33" s="6">
        <v>185</v>
      </c>
      <c r="I33" s="82">
        <v>711.14</v>
      </c>
      <c r="J33" s="6">
        <v>375</v>
      </c>
      <c r="K33" s="205">
        <v>0.81499999999999995</v>
      </c>
    </row>
    <row r="34" spans="1:11" ht="12.75" customHeight="1" x14ac:dyDescent="0.2">
      <c r="A34" s="6" t="s">
        <v>89</v>
      </c>
      <c r="B34" s="6" t="s">
        <v>90</v>
      </c>
      <c r="C34" s="6">
        <v>7.0000000000000007E-2</v>
      </c>
      <c r="D34" s="6">
        <v>3.0000000000000006E-2</v>
      </c>
      <c r="E34" s="6"/>
      <c r="F34" s="6"/>
      <c r="G34" s="6"/>
      <c r="H34" s="6"/>
      <c r="I34" s="82">
        <v>0</v>
      </c>
      <c r="J34" s="6"/>
      <c r="K34" s="205"/>
    </row>
    <row r="35" spans="1:11" ht="12.75" customHeight="1" x14ac:dyDescent="0.2">
      <c r="I35" s="82"/>
    </row>
    <row r="36" spans="1:11" ht="12.75" customHeight="1" x14ac:dyDescent="0.2">
      <c r="I36" s="82"/>
    </row>
    <row r="37" spans="1:11" ht="12.75" customHeight="1" x14ac:dyDescent="0.2">
      <c r="I37" s="82"/>
    </row>
    <row r="38" spans="1:11" ht="12.75" customHeight="1" x14ac:dyDescent="0.2">
      <c r="I38" s="82"/>
    </row>
    <row r="39" spans="1:11" ht="12.75" customHeight="1" x14ac:dyDescent="0.2">
      <c r="I39" s="82"/>
    </row>
    <row r="40" spans="1:11" ht="12.75" customHeight="1" x14ac:dyDescent="0.2">
      <c r="I40" s="82"/>
    </row>
    <row r="41" spans="1:11" ht="12.75" customHeight="1" x14ac:dyDescent="0.2">
      <c r="I41" s="82"/>
    </row>
    <row r="42" spans="1:11" ht="12.75" customHeight="1" x14ac:dyDescent="0.2">
      <c r="I42" s="82"/>
    </row>
    <row r="43" spans="1:11" ht="12.75" customHeight="1" x14ac:dyDescent="0.2">
      <c r="I43" s="82"/>
    </row>
    <row r="44" spans="1:11" ht="12.75" customHeight="1" x14ac:dyDescent="0.2">
      <c r="I44" s="82"/>
    </row>
    <row r="45" spans="1:11" ht="12.75" customHeight="1" x14ac:dyDescent="0.2">
      <c r="I45" s="82"/>
    </row>
    <row r="46" spans="1:11" ht="12.75" customHeight="1" x14ac:dyDescent="0.2">
      <c r="I46" s="82"/>
    </row>
    <row r="47" spans="1:11" ht="12.75" customHeight="1" x14ac:dyDescent="0.2">
      <c r="I47" s="82"/>
    </row>
    <row r="48" spans="1:11" ht="12.75" customHeight="1" x14ac:dyDescent="0.2">
      <c r="I48" s="82"/>
    </row>
    <row r="49" spans="9:9" ht="12.75" customHeight="1" x14ac:dyDescent="0.2">
      <c r="I49" s="82"/>
    </row>
    <row r="50" spans="9:9" ht="12.75" customHeight="1" x14ac:dyDescent="0.2">
      <c r="I50" s="82"/>
    </row>
    <row r="51" spans="9:9" ht="12.75" customHeight="1" x14ac:dyDescent="0.2">
      <c r="I51" s="82"/>
    </row>
    <row r="52" spans="9:9" ht="12.75" customHeight="1" x14ac:dyDescent="0.2">
      <c r="I52" s="82"/>
    </row>
    <row r="53" spans="9:9" ht="12.75" customHeight="1" x14ac:dyDescent="0.2">
      <c r="I53" s="82"/>
    </row>
    <row r="54" spans="9:9" ht="12.75" customHeight="1" x14ac:dyDescent="0.2">
      <c r="I54" s="82"/>
    </row>
    <row r="55" spans="9:9" ht="12.75" customHeight="1" x14ac:dyDescent="0.2">
      <c r="I55" s="82"/>
    </row>
    <row r="56" spans="9:9" ht="12.75" customHeight="1" x14ac:dyDescent="0.2">
      <c r="I56" s="82"/>
    </row>
    <row r="57" spans="9:9" ht="12.75" customHeight="1" x14ac:dyDescent="0.2">
      <c r="I57" s="82"/>
    </row>
    <row r="58" spans="9:9" ht="12.75" customHeight="1" x14ac:dyDescent="0.2">
      <c r="I58" s="82"/>
    </row>
    <row r="59" spans="9:9" ht="12.75" customHeight="1" x14ac:dyDescent="0.2">
      <c r="I59" s="82"/>
    </row>
    <row r="60" spans="9:9" ht="12.75" customHeight="1" x14ac:dyDescent="0.2">
      <c r="I60" s="82"/>
    </row>
    <row r="61" spans="9:9" ht="12.75" customHeight="1" x14ac:dyDescent="0.2">
      <c r="I61" s="82"/>
    </row>
    <row r="62" spans="9:9" ht="12.75" customHeight="1" x14ac:dyDescent="0.2">
      <c r="I62" s="82"/>
    </row>
    <row r="63" spans="9:9" ht="12.75" customHeight="1" x14ac:dyDescent="0.2">
      <c r="I63" s="82"/>
    </row>
    <row r="64" spans="9:9" ht="12.75" customHeight="1" x14ac:dyDescent="0.2">
      <c r="I64" s="82"/>
    </row>
    <row r="65" spans="9:9" ht="12.75" customHeight="1" x14ac:dyDescent="0.2">
      <c r="I65" s="82"/>
    </row>
    <row r="66" spans="9:9" ht="12.75" customHeight="1" x14ac:dyDescent="0.2">
      <c r="I66" s="82"/>
    </row>
    <row r="67" spans="9:9" ht="12.75" customHeight="1" x14ac:dyDescent="0.2">
      <c r="I67" s="82"/>
    </row>
    <row r="68" spans="9:9" ht="12.75" customHeight="1" x14ac:dyDescent="0.2">
      <c r="I68" s="82"/>
    </row>
    <row r="69" spans="9:9" ht="12.75" customHeight="1" x14ac:dyDescent="0.2">
      <c r="I69" s="82"/>
    </row>
    <row r="70" spans="9:9" ht="12.75" customHeight="1" x14ac:dyDescent="0.2">
      <c r="I70" s="82"/>
    </row>
    <row r="71" spans="9:9" ht="12.75" customHeight="1" x14ac:dyDescent="0.2">
      <c r="I71" s="82"/>
    </row>
    <row r="72" spans="9:9" ht="12.75" customHeight="1" x14ac:dyDescent="0.2">
      <c r="I72" s="82"/>
    </row>
    <row r="73" spans="9:9" ht="12.75" customHeight="1" x14ac:dyDescent="0.2">
      <c r="I73" s="82"/>
    </row>
    <row r="74" spans="9:9" ht="12.75" customHeight="1" x14ac:dyDescent="0.2">
      <c r="I74" s="82"/>
    </row>
    <row r="75" spans="9:9" ht="12.75" customHeight="1" x14ac:dyDescent="0.2">
      <c r="I75" s="82"/>
    </row>
    <row r="76" spans="9:9" ht="12.75" customHeight="1" x14ac:dyDescent="0.2">
      <c r="I76" s="82"/>
    </row>
    <row r="77" spans="9:9" ht="12.75" customHeight="1" x14ac:dyDescent="0.2">
      <c r="I77" s="82"/>
    </row>
    <row r="78" spans="9:9" ht="12.75" customHeight="1" x14ac:dyDescent="0.2">
      <c r="I78" s="82"/>
    </row>
    <row r="79" spans="9:9" ht="12.75" customHeight="1" x14ac:dyDescent="0.2">
      <c r="I79" s="82"/>
    </row>
    <row r="80" spans="9:9" ht="12.75" customHeight="1" x14ac:dyDescent="0.2">
      <c r="I80" s="82"/>
    </row>
    <row r="81" spans="9:9" ht="12.75" customHeight="1" x14ac:dyDescent="0.2">
      <c r="I81" s="82"/>
    </row>
    <row r="82" spans="9:9" ht="12.75" customHeight="1" x14ac:dyDescent="0.2">
      <c r="I82" s="82"/>
    </row>
    <row r="83" spans="9:9" ht="12.75" customHeight="1" x14ac:dyDescent="0.2">
      <c r="I83" s="82"/>
    </row>
    <row r="84" spans="9:9" ht="12.75" customHeight="1" x14ac:dyDescent="0.2">
      <c r="I84" s="82"/>
    </row>
    <row r="85" spans="9:9" ht="12.75" customHeight="1" x14ac:dyDescent="0.2">
      <c r="I85" s="82"/>
    </row>
    <row r="86" spans="9:9" ht="12.75" customHeight="1" x14ac:dyDescent="0.2">
      <c r="I86" s="82"/>
    </row>
    <row r="87" spans="9:9" ht="12.75" customHeight="1" x14ac:dyDescent="0.2">
      <c r="I87" s="82"/>
    </row>
    <row r="88" spans="9:9" ht="12.75" customHeight="1" x14ac:dyDescent="0.2">
      <c r="I88" s="82"/>
    </row>
    <row r="89" spans="9:9" ht="12.75" customHeight="1" x14ac:dyDescent="0.2">
      <c r="I89" s="82"/>
    </row>
    <row r="90" spans="9:9" ht="12.75" customHeight="1" x14ac:dyDescent="0.2">
      <c r="I90" s="82"/>
    </row>
    <row r="91" spans="9:9" ht="12.75" customHeight="1" x14ac:dyDescent="0.2">
      <c r="I91" s="82"/>
    </row>
    <row r="92" spans="9:9" ht="12.75" customHeight="1" x14ac:dyDescent="0.2">
      <c r="I92" s="82"/>
    </row>
    <row r="93" spans="9:9" ht="12.75" customHeight="1" x14ac:dyDescent="0.2">
      <c r="I93" s="82"/>
    </row>
    <row r="94" spans="9:9" ht="12.75" customHeight="1" x14ac:dyDescent="0.2">
      <c r="I94" s="82"/>
    </row>
    <row r="95" spans="9:9" ht="12.75" customHeight="1" x14ac:dyDescent="0.2">
      <c r="I95" s="82"/>
    </row>
    <row r="96" spans="9:9" ht="12.75" customHeight="1" x14ac:dyDescent="0.2">
      <c r="I96" s="82"/>
    </row>
    <row r="97" spans="9:9" ht="12.75" customHeight="1" x14ac:dyDescent="0.2">
      <c r="I97" s="82"/>
    </row>
    <row r="98" spans="9:9" ht="12.75" customHeight="1" x14ac:dyDescent="0.2">
      <c r="I98" s="82"/>
    </row>
    <row r="99" spans="9:9" ht="12.75" customHeight="1" x14ac:dyDescent="0.2">
      <c r="I99" s="82"/>
    </row>
    <row r="100" spans="9:9" ht="12.75" customHeight="1" x14ac:dyDescent="0.2">
      <c r="I100" s="82"/>
    </row>
    <row r="101" spans="9:9" ht="12.75" customHeight="1" x14ac:dyDescent="0.2">
      <c r="I101" s="82"/>
    </row>
    <row r="102" spans="9:9" ht="12.75" customHeight="1" x14ac:dyDescent="0.2">
      <c r="I102" s="82"/>
    </row>
    <row r="103" spans="9:9" ht="12.75" customHeight="1" x14ac:dyDescent="0.2">
      <c r="I103" s="82"/>
    </row>
    <row r="104" spans="9:9" ht="12.75" customHeight="1" x14ac:dyDescent="0.2">
      <c r="I104" s="82"/>
    </row>
    <row r="105" spans="9:9" ht="12.75" customHeight="1" x14ac:dyDescent="0.2">
      <c r="I105" s="82"/>
    </row>
    <row r="106" spans="9:9" ht="12.75" customHeight="1" x14ac:dyDescent="0.2">
      <c r="I106" s="82"/>
    </row>
    <row r="107" spans="9:9" ht="12.75" customHeight="1" x14ac:dyDescent="0.2">
      <c r="I107" s="82"/>
    </row>
    <row r="108" spans="9:9" ht="12.75" customHeight="1" x14ac:dyDescent="0.2">
      <c r="I108" s="82"/>
    </row>
    <row r="109" spans="9:9" ht="12.75" customHeight="1" x14ac:dyDescent="0.2">
      <c r="I109" s="82"/>
    </row>
    <row r="110" spans="9:9" ht="12.75" customHeight="1" x14ac:dyDescent="0.2">
      <c r="I110" s="82"/>
    </row>
    <row r="111" spans="9:9" ht="12.75" customHeight="1" x14ac:dyDescent="0.2">
      <c r="I111" s="82"/>
    </row>
    <row r="112" spans="9:9" ht="12.75" customHeight="1" x14ac:dyDescent="0.2">
      <c r="I112" s="82"/>
    </row>
    <row r="113" spans="9:9" ht="12.75" customHeight="1" x14ac:dyDescent="0.2">
      <c r="I113" s="82"/>
    </row>
    <row r="114" spans="9:9" ht="12.75" customHeight="1" x14ac:dyDescent="0.2">
      <c r="I114" s="82"/>
    </row>
    <row r="115" spans="9:9" ht="12.75" customHeight="1" x14ac:dyDescent="0.2">
      <c r="I115" s="82"/>
    </row>
    <row r="116" spans="9:9" ht="12.75" customHeight="1" x14ac:dyDescent="0.2">
      <c r="I116" s="82"/>
    </row>
    <row r="117" spans="9:9" ht="12.75" customHeight="1" x14ac:dyDescent="0.2">
      <c r="I117" s="82"/>
    </row>
    <row r="118" spans="9:9" ht="12.75" customHeight="1" x14ac:dyDescent="0.2">
      <c r="I118" s="82"/>
    </row>
    <row r="119" spans="9:9" ht="12.75" customHeight="1" x14ac:dyDescent="0.2">
      <c r="I119" s="82"/>
    </row>
    <row r="120" spans="9:9" ht="12.75" customHeight="1" x14ac:dyDescent="0.2">
      <c r="I120" s="82"/>
    </row>
    <row r="121" spans="9:9" ht="12.75" customHeight="1" x14ac:dyDescent="0.2">
      <c r="I121" s="82"/>
    </row>
    <row r="122" spans="9:9" ht="12.75" customHeight="1" x14ac:dyDescent="0.2">
      <c r="I122" s="82"/>
    </row>
    <row r="123" spans="9:9" ht="12.75" customHeight="1" x14ac:dyDescent="0.2">
      <c r="I123" s="82"/>
    </row>
    <row r="124" spans="9:9" ht="12.75" customHeight="1" x14ac:dyDescent="0.2">
      <c r="I124" s="82"/>
    </row>
    <row r="125" spans="9:9" ht="12.75" customHeight="1" x14ac:dyDescent="0.2">
      <c r="I125" s="82"/>
    </row>
    <row r="126" spans="9:9" ht="12.75" customHeight="1" x14ac:dyDescent="0.2">
      <c r="I126" s="82"/>
    </row>
    <row r="127" spans="9:9" ht="12.75" customHeight="1" x14ac:dyDescent="0.2">
      <c r="I127" s="82"/>
    </row>
    <row r="128" spans="9:9" ht="12.75" customHeight="1" x14ac:dyDescent="0.2">
      <c r="I128" s="82"/>
    </row>
    <row r="129" spans="9:9" ht="12.75" customHeight="1" x14ac:dyDescent="0.2">
      <c r="I129" s="82"/>
    </row>
    <row r="130" spans="9:9" ht="12.75" customHeight="1" x14ac:dyDescent="0.2">
      <c r="I130" s="82"/>
    </row>
    <row r="131" spans="9:9" ht="12.75" customHeight="1" x14ac:dyDescent="0.2">
      <c r="I131" s="82"/>
    </row>
    <row r="132" spans="9:9" ht="12.75" customHeight="1" x14ac:dyDescent="0.2">
      <c r="I132" s="82"/>
    </row>
    <row r="133" spans="9:9" ht="12.75" customHeight="1" x14ac:dyDescent="0.2">
      <c r="I133" s="82"/>
    </row>
    <row r="134" spans="9:9" ht="12.75" customHeight="1" x14ac:dyDescent="0.2">
      <c r="I134" s="82"/>
    </row>
    <row r="135" spans="9:9" ht="12.75" customHeight="1" x14ac:dyDescent="0.2">
      <c r="I135" s="82"/>
    </row>
    <row r="136" spans="9:9" ht="12.75" customHeight="1" x14ac:dyDescent="0.2">
      <c r="I136" s="82"/>
    </row>
    <row r="137" spans="9:9" ht="12.75" customHeight="1" x14ac:dyDescent="0.2">
      <c r="I137" s="82"/>
    </row>
    <row r="138" spans="9:9" ht="12.75" customHeight="1" x14ac:dyDescent="0.2">
      <c r="I138" s="82"/>
    </row>
    <row r="139" spans="9:9" ht="12.75" customHeight="1" x14ac:dyDescent="0.2">
      <c r="I139" s="82"/>
    </row>
    <row r="140" spans="9:9" ht="12.75" customHeight="1" x14ac:dyDescent="0.2">
      <c r="I140" s="82"/>
    </row>
    <row r="141" spans="9:9" ht="12.75" customHeight="1" x14ac:dyDescent="0.2">
      <c r="I141" s="82"/>
    </row>
    <row r="142" spans="9:9" ht="12.75" customHeight="1" x14ac:dyDescent="0.2">
      <c r="I142" s="82"/>
    </row>
    <row r="143" spans="9:9" ht="12.75" customHeight="1" x14ac:dyDescent="0.2">
      <c r="I143" s="82"/>
    </row>
    <row r="144" spans="9:9" ht="12.75" customHeight="1" x14ac:dyDescent="0.2">
      <c r="I144" s="82"/>
    </row>
    <row r="145" spans="9:9" ht="12.75" customHeight="1" x14ac:dyDescent="0.2">
      <c r="I145" s="82"/>
    </row>
    <row r="146" spans="9:9" ht="12.75" customHeight="1" x14ac:dyDescent="0.2">
      <c r="I146" s="82"/>
    </row>
    <row r="147" spans="9:9" ht="12.75" customHeight="1" x14ac:dyDescent="0.2">
      <c r="I147" s="82"/>
    </row>
    <row r="148" spans="9:9" ht="12.75" customHeight="1" x14ac:dyDescent="0.2">
      <c r="I148" s="82"/>
    </row>
    <row r="149" spans="9:9" ht="12.75" customHeight="1" x14ac:dyDescent="0.2">
      <c r="I149" s="82"/>
    </row>
    <row r="150" spans="9:9" ht="12.75" customHeight="1" x14ac:dyDescent="0.2">
      <c r="I150" s="82"/>
    </row>
    <row r="151" spans="9:9" ht="12.75" customHeight="1" x14ac:dyDescent="0.2">
      <c r="I151" s="82"/>
    </row>
    <row r="152" spans="9:9" ht="12.75" customHeight="1" x14ac:dyDescent="0.2">
      <c r="I152" s="82"/>
    </row>
    <row r="153" spans="9:9" ht="12.75" customHeight="1" x14ac:dyDescent="0.2">
      <c r="I153" s="82"/>
    </row>
    <row r="154" spans="9:9" ht="12.75" customHeight="1" x14ac:dyDescent="0.2">
      <c r="I154" s="82"/>
    </row>
    <row r="155" spans="9:9" ht="12.75" customHeight="1" x14ac:dyDescent="0.2">
      <c r="I155" s="82"/>
    </row>
    <row r="156" spans="9:9" ht="12.75" customHeight="1" x14ac:dyDescent="0.2">
      <c r="I156" s="82"/>
    </row>
    <row r="157" spans="9:9" ht="12.75" customHeight="1" x14ac:dyDescent="0.2">
      <c r="I157" s="82"/>
    </row>
    <row r="158" spans="9:9" ht="12.75" customHeight="1" x14ac:dyDescent="0.2">
      <c r="I158" s="82"/>
    </row>
    <row r="159" spans="9:9" ht="12.75" customHeight="1" x14ac:dyDescent="0.2">
      <c r="I159" s="82"/>
    </row>
    <row r="160" spans="9:9" ht="12.75" customHeight="1" x14ac:dyDescent="0.2">
      <c r="I160" s="82"/>
    </row>
    <row r="161" spans="9:9" ht="12.75" customHeight="1" x14ac:dyDescent="0.2">
      <c r="I161" s="82"/>
    </row>
    <row r="162" spans="9:9" ht="12.75" customHeight="1" x14ac:dyDescent="0.2">
      <c r="I162" s="82"/>
    </row>
    <row r="163" spans="9:9" ht="12.75" customHeight="1" x14ac:dyDescent="0.2">
      <c r="I163" s="82"/>
    </row>
    <row r="164" spans="9:9" ht="12.75" customHeight="1" x14ac:dyDescent="0.2">
      <c r="I164" s="82"/>
    </row>
    <row r="165" spans="9:9" ht="12.75" customHeight="1" x14ac:dyDescent="0.2">
      <c r="I165" s="82"/>
    </row>
    <row r="166" spans="9:9" ht="12.75" customHeight="1" x14ac:dyDescent="0.2">
      <c r="I166" s="82"/>
    </row>
    <row r="167" spans="9:9" ht="12.75" customHeight="1" x14ac:dyDescent="0.2">
      <c r="I167" s="82"/>
    </row>
    <row r="168" spans="9:9" ht="12.75" customHeight="1" x14ac:dyDescent="0.2">
      <c r="I168" s="82"/>
    </row>
    <row r="169" spans="9:9" ht="12.75" customHeight="1" x14ac:dyDescent="0.2">
      <c r="I169" s="82"/>
    </row>
    <row r="170" spans="9:9" ht="12.75" customHeight="1" x14ac:dyDescent="0.2">
      <c r="I170" s="82"/>
    </row>
    <row r="171" spans="9:9" ht="12.75" customHeight="1" x14ac:dyDescent="0.2">
      <c r="I171" s="82"/>
    </row>
    <row r="172" spans="9:9" ht="12.75" customHeight="1" x14ac:dyDescent="0.2">
      <c r="I172" s="82"/>
    </row>
    <row r="173" spans="9:9" ht="12.75" customHeight="1" x14ac:dyDescent="0.2">
      <c r="I173" s="82"/>
    </row>
    <row r="174" spans="9:9" ht="12.75" customHeight="1" x14ac:dyDescent="0.2">
      <c r="I174" s="82"/>
    </row>
    <row r="175" spans="9:9" ht="12.75" customHeight="1" x14ac:dyDescent="0.2">
      <c r="I175" s="82"/>
    </row>
    <row r="176" spans="9:9" ht="12.75" customHeight="1" x14ac:dyDescent="0.2">
      <c r="I176" s="82"/>
    </row>
    <row r="177" spans="9:9" ht="12.75" customHeight="1" x14ac:dyDescent="0.2">
      <c r="I177" s="82"/>
    </row>
    <row r="178" spans="9:9" ht="12.75" customHeight="1" x14ac:dyDescent="0.2">
      <c r="I178" s="82"/>
    </row>
    <row r="179" spans="9:9" ht="12.75" customHeight="1" x14ac:dyDescent="0.2">
      <c r="I179" s="82"/>
    </row>
    <row r="180" spans="9:9" ht="12.75" customHeight="1" x14ac:dyDescent="0.2">
      <c r="I180" s="82"/>
    </row>
    <row r="181" spans="9:9" ht="12.75" customHeight="1" x14ac:dyDescent="0.2">
      <c r="I181" s="82"/>
    </row>
    <row r="182" spans="9:9" ht="12.75" customHeight="1" x14ac:dyDescent="0.2">
      <c r="I182" s="82"/>
    </row>
    <row r="183" spans="9:9" ht="12.75" customHeight="1" x14ac:dyDescent="0.2">
      <c r="I183" s="82"/>
    </row>
    <row r="184" spans="9:9" ht="12.75" customHeight="1" x14ac:dyDescent="0.2">
      <c r="I184" s="82"/>
    </row>
    <row r="185" spans="9:9" ht="12.75" customHeight="1" x14ac:dyDescent="0.2">
      <c r="I185" s="82"/>
    </row>
    <row r="186" spans="9:9" ht="12.75" customHeight="1" x14ac:dyDescent="0.2">
      <c r="I186" s="82"/>
    </row>
    <row r="187" spans="9:9" ht="12.75" customHeight="1" x14ac:dyDescent="0.2">
      <c r="I187" s="82"/>
    </row>
    <row r="188" spans="9:9" ht="12.75" customHeight="1" x14ac:dyDescent="0.2">
      <c r="I188" s="82"/>
    </row>
    <row r="189" spans="9:9" ht="12.75" customHeight="1" x14ac:dyDescent="0.2">
      <c r="I189" s="82"/>
    </row>
    <row r="190" spans="9:9" ht="12.75" customHeight="1" x14ac:dyDescent="0.2">
      <c r="I190" s="82"/>
    </row>
    <row r="191" spans="9:9" ht="12.75" customHeight="1" x14ac:dyDescent="0.2">
      <c r="I191" s="82"/>
    </row>
    <row r="192" spans="9:9" ht="12.75" customHeight="1" x14ac:dyDescent="0.2">
      <c r="I192" s="82"/>
    </row>
    <row r="193" spans="9:9" ht="12.75" customHeight="1" x14ac:dyDescent="0.2">
      <c r="I193" s="82"/>
    </row>
    <row r="194" spans="9:9" ht="12.75" customHeight="1" x14ac:dyDescent="0.2">
      <c r="I194" s="82"/>
    </row>
    <row r="195" spans="9:9" ht="12.75" customHeight="1" x14ac:dyDescent="0.2">
      <c r="I195" s="82"/>
    </row>
    <row r="196" spans="9:9" ht="12.75" customHeight="1" x14ac:dyDescent="0.2">
      <c r="I196" s="82"/>
    </row>
    <row r="197" spans="9:9" ht="12.75" customHeight="1" x14ac:dyDescent="0.2">
      <c r="I197" s="82"/>
    </row>
    <row r="198" spans="9:9" ht="12.75" customHeight="1" x14ac:dyDescent="0.2">
      <c r="I198" s="82"/>
    </row>
    <row r="199" spans="9:9" ht="12.75" customHeight="1" x14ac:dyDescent="0.2">
      <c r="I199" s="82"/>
    </row>
    <row r="200" spans="9:9" ht="12.75" customHeight="1" x14ac:dyDescent="0.2">
      <c r="I200" s="82"/>
    </row>
    <row r="201" spans="9:9" ht="12.75" customHeight="1" x14ac:dyDescent="0.2">
      <c r="I201" s="82"/>
    </row>
    <row r="202" spans="9:9" ht="12.75" customHeight="1" x14ac:dyDescent="0.2">
      <c r="I202" s="82"/>
    </row>
    <row r="203" spans="9:9" ht="12.75" customHeight="1" x14ac:dyDescent="0.2">
      <c r="I203" s="82"/>
    </row>
    <row r="204" spans="9:9" ht="12.75" customHeight="1" x14ac:dyDescent="0.2">
      <c r="I204" s="82"/>
    </row>
    <row r="205" spans="9:9" ht="12.75" customHeight="1" x14ac:dyDescent="0.2">
      <c r="I205" s="82"/>
    </row>
    <row r="206" spans="9:9" ht="12.75" customHeight="1" x14ac:dyDescent="0.2">
      <c r="I206" s="82"/>
    </row>
    <row r="207" spans="9:9" ht="12.75" customHeight="1" x14ac:dyDescent="0.2">
      <c r="I207" s="82"/>
    </row>
    <row r="208" spans="9:9" ht="12.75" customHeight="1" x14ac:dyDescent="0.2">
      <c r="I208" s="82"/>
    </row>
    <row r="209" spans="9:9" ht="12.75" customHeight="1" x14ac:dyDescent="0.2">
      <c r="I209" s="82"/>
    </row>
    <row r="210" spans="9:9" ht="12.75" customHeight="1" x14ac:dyDescent="0.2">
      <c r="I210" s="82"/>
    </row>
    <row r="211" spans="9:9" ht="12.75" customHeight="1" x14ac:dyDescent="0.2">
      <c r="I211" s="82"/>
    </row>
    <row r="212" spans="9:9" ht="12.75" customHeight="1" x14ac:dyDescent="0.2">
      <c r="I212" s="82"/>
    </row>
    <row r="213" spans="9:9" ht="12.75" customHeight="1" x14ac:dyDescent="0.2">
      <c r="I213" s="82"/>
    </row>
    <row r="214" spans="9:9" ht="12.75" customHeight="1" x14ac:dyDescent="0.2">
      <c r="I214" s="82"/>
    </row>
    <row r="215" spans="9:9" ht="12.75" customHeight="1" x14ac:dyDescent="0.2">
      <c r="I215" s="82"/>
    </row>
    <row r="216" spans="9:9" ht="12.75" customHeight="1" x14ac:dyDescent="0.2">
      <c r="I216" s="82"/>
    </row>
    <row r="217" spans="9:9" ht="12.75" customHeight="1" x14ac:dyDescent="0.2">
      <c r="I217" s="82"/>
    </row>
    <row r="218" spans="9:9" ht="12.75" customHeight="1" x14ac:dyDescent="0.2">
      <c r="I218" s="82"/>
    </row>
    <row r="219" spans="9:9" ht="12.75" customHeight="1" x14ac:dyDescent="0.2">
      <c r="I219" s="82"/>
    </row>
    <row r="220" spans="9:9" ht="12.75" customHeight="1" x14ac:dyDescent="0.2">
      <c r="I220" s="82"/>
    </row>
    <row r="221" spans="9:9" ht="12.75" customHeight="1" x14ac:dyDescent="0.2">
      <c r="I221" s="82"/>
    </row>
    <row r="222" spans="9:9" ht="12.75" customHeight="1" x14ac:dyDescent="0.2">
      <c r="I222" s="82"/>
    </row>
    <row r="223" spans="9:9" ht="12.75" customHeight="1" x14ac:dyDescent="0.2">
      <c r="I223" s="82"/>
    </row>
    <row r="224" spans="9:9" ht="12.75" customHeight="1" x14ac:dyDescent="0.2">
      <c r="I224" s="82"/>
    </row>
    <row r="225" spans="9:9" ht="12.75" customHeight="1" x14ac:dyDescent="0.2">
      <c r="I225" s="82"/>
    </row>
    <row r="226" spans="9:9" ht="12.75" customHeight="1" x14ac:dyDescent="0.2">
      <c r="I226" s="82"/>
    </row>
    <row r="227" spans="9:9" ht="12.75" customHeight="1" x14ac:dyDescent="0.2">
      <c r="I227" s="82"/>
    </row>
    <row r="228" spans="9:9" ht="12.75" customHeight="1" x14ac:dyDescent="0.2">
      <c r="I228" s="82"/>
    </row>
    <row r="229" spans="9:9" ht="12.75" customHeight="1" x14ac:dyDescent="0.2">
      <c r="I229" s="82"/>
    </row>
    <row r="230" spans="9:9" ht="12.75" customHeight="1" x14ac:dyDescent="0.2">
      <c r="I230" s="82"/>
    </row>
    <row r="231" spans="9:9" ht="12.75" customHeight="1" x14ac:dyDescent="0.2">
      <c r="I231" s="82"/>
    </row>
    <row r="232" spans="9:9" ht="12.75" customHeight="1" x14ac:dyDescent="0.2">
      <c r="I232" s="82"/>
    </row>
    <row r="233" spans="9:9" ht="12.75" customHeight="1" x14ac:dyDescent="0.2">
      <c r="I233" s="82"/>
    </row>
    <row r="234" spans="9:9" ht="12.75" customHeight="1" x14ac:dyDescent="0.2">
      <c r="I234" s="82"/>
    </row>
    <row r="235" spans="9:9" ht="12.75" customHeight="1" x14ac:dyDescent="0.2">
      <c r="I235" s="82"/>
    </row>
    <row r="236" spans="9:9" ht="12.75" customHeight="1" x14ac:dyDescent="0.2">
      <c r="I236" s="82"/>
    </row>
    <row r="237" spans="9:9" ht="12.75" customHeight="1" x14ac:dyDescent="0.2">
      <c r="I237" s="82"/>
    </row>
    <row r="238" spans="9:9" ht="12.75" customHeight="1" x14ac:dyDescent="0.2">
      <c r="I238" s="82"/>
    </row>
    <row r="239" spans="9:9" ht="12.75" customHeight="1" x14ac:dyDescent="0.2">
      <c r="I239" s="82"/>
    </row>
    <row r="240" spans="9:9" ht="12.75" customHeight="1" x14ac:dyDescent="0.2">
      <c r="I240" s="82"/>
    </row>
    <row r="241" spans="9:9" ht="12.75" customHeight="1" x14ac:dyDescent="0.2">
      <c r="I241" s="82"/>
    </row>
    <row r="242" spans="9:9" ht="12.75" customHeight="1" x14ac:dyDescent="0.2">
      <c r="I242" s="82"/>
    </row>
    <row r="243" spans="9:9" ht="12.75" customHeight="1" x14ac:dyDescent="0.2">
      <c r="I243" s="82"/>
    </row>
    <row r="244" spans="9:9" ht="12.75" customHeight="1" x14ac:dyDescent="0.2">
      <c r="I244" s="82"/>
    </row>
    <row r="245" spans="9:9" ht="12.75" customHeight="1" x14ac:dyDescent="0.2">
      <c r="I245" s="82"/>
    </row>
    <row r="246" spans="9:9" ht="12.75" customHeight="1" x14ac:dyDescent="0.2">
      <c r="I246" s="82"/>
    </row>
    <row r="247" spans="9:9" ht="12.75" customHeight="1" x14ac:dyDescent="0.2">
      <c r="I247" s="82"/>
    </row>
    <row r="248" spans="9:9" ht="12.75" customHeight="1" x14ac:dyDescent="0.2">
      <c r="I248" s="82"/>
    </row>
    <row r="249" spans="9:9" ht="12.75" customHeight="1" x14ac:dyDescent="0.2">
      <c r="I249" s="82"/>
    </row>
    <row r="250" spans="9:9" ht="12.75" customHeight="1" x14ac:dyDescent="0.2">
      <c r="I250" s="82"/>
    </row>
    <row r="251" spans="9:9" ht="12.75" customHeight="1" x14ac:dyDescent="0.2">
      <c r="I251" s="82"/>
    </row>
    <row r="252" spans="9:9" ht="12.75" customHeight="1" x14ac:dyDescent="0.2">
      <c r="I252" s="82"/>
    </row>
    <row r="253" spans="9:9" ht="12.75" customHeight="1" x14ac:dyDescent="0.2">
      <c r="I253" s="82"/>
    </row>
    <row r="254" spans="9:9" ht="12.75" customHeight="1" x14ac:dyDescent="0.2">
      <c r="I254" s="82"/>
    </row>
    <row r="255" spans="9:9" ht="12.75" customHeight="1" x14ac:dyDescent="0.2">
      <c r="I255" s="82"/>
    </row>
    <row r="256" spans="9:9" ht="12.75" customHeight="1" x14ac:dyDescent="0.2">
      <c r="I256" s="82"/>
    </row>
    <row r="257" spans="9:9" ht="12.75" customHeight="1" x14ac:dyDescent="0.2">
      <c r="I257" s="82"/>
    </row>
    <row r="258" spans="9:9" ht="12.75" customHeight="1" x14ac:dyDescent="0.2">
      <c r="I258" s="82"/>
    </row>
    <row r="259" spans="9:9" ht="12.75" customHeight="1" x14ac:dyDescent="0.2">
      <c r="I259" s="82"/>
    </row>
    <row r="260" spans="9:9" ht="12.75" customHeight="1" x14ac:dyDescent="0.2">
      <c r="I260" s="82"/>
    </row>
    <row r="261" spans="9:9" ht="12.75" customHeight="1" x14ac:dyDescent="0.2">
      <c r="I261" s="82"/>
    </row>
    <row r="262" spans="9:9" ht="12.75" customHeight="1" x14ac:dyDescent="0.2">
      <c r="I262" s="82"/>
    </row>
    <row r="263" spans="9:9" ht="12.75" customHeight="1" x14ac:dyDescent="0.2">
      <c r="I263" s="82"/>
    </row>
    <row r="264" spans="9:9" ht="12.75" customHeight="1" x14ac:dyDescent="0.2">
      <c r="I264" s="82"/>
    </row>
    <row r="265" spans="9:9" ht="12.75" customHeight="1" x14ac:dyDescent="0.2">
      <c r="I265" s="82"/>
    </row>
    <row r="266" spans="9:9" ht="12.75" customHeight="1" x14ac:dyDescent="0.2">
      <c r="I266" s="82"/>
    </row>
    <row r="267" spans="9:9" ht="12.75" customHeight="1" x14ac:dyDescent="0.2">
      <c r="I267" s="82"/>
    </row>
    <row r="268" spans="9:9" ht="12.75" customHeight="1" x14ac:dyDescent="0.2">
      <c r="I268" s="82"/>
    </row>
    <row r="269" spans="9:9" ht="12.75" customHeight="1" x14ac:dyDescent="0.2">
      <c r="I269" s="82"/>
    </row>
    <row r="270" spans="9:9" ht="12.75" customHeight="1" x14ac:dyDescent="0.2">
      <c r="I270" s="82"/>
    </row>
    <row r="271" spans="9:9" ht="12.75" customHeight="1" x14ac:dyDescent="0.2">
      <c r="I271" s="82"/>
    </row>
    <row r="272" spans="9:9" ht="12.75" customHeight="1" x14ac:dyDescent="0.2">
      <c r="I272" s="82"/>
    </row>
    <row r="273" spans="9:9" ht="12.75" customHeight="1" x14ac:dyDescent="0.2">
      <c r="I273" s="82"/>
    </row>
    <row r="274" spans="9:9" ht="12.75" customHeight="1" x14ac:dyDescent="0.2">
      <c r="I274" s="82"/>
    </row>
    <row r="275" spans="9:9" ht="12.75" customHeight="1" x14ac:dyDescent="0.2">
      <c r="I275" s="82"/>
    </row>
    <row r="276" spans="9:9" ht="12.75" customHeight="1" x14ac:dyDescent="0.2">
      <c r="I276" s="82"/>
    </row>
    <row r="277" spans="9:9" ht="12.75" customHeight="1" x14ac:dyDescent="0.2">
      <c r="I277" s="82"/>
    </row>
    <row r="278" spans="9:9" ht="12.75" customHeight="1" x14ac:dyDescent="0.2">
      <c r="I278" s="82"/>
    </row>
    <row r="279" spans="9:9" ht="12.75" customHeight="1" x14ac:dyDescent="0.2">
      <c r="I279" s="82"/>
    </row>
    <row r="280" spans="9:9" ht="12.75" customHeight="1" x14ac:dyDescent="0.2">
      <c r="I280" s="82"/>
    </row>
    <row r="281" spans="9:9" ht="12.75" customHeight="1" x14ac:dyDescent="0.2">
      <c r="I281" s="82"/>
    </row>
    <row r="282" spans="9:9" ht="12.75" customHeight="1" x14ac:dyDescent="0.2">
      <c r="I282" s="82"/>
    </row>
    <row r="283" spans="9:9" ht="12.75" customHeight="1" x14ac:dyDescent="0.2">
      <c r="I283" s="82"/>
    </row>
    <row r="284" spans="9:9" ht="12.75" customHeight="1" x14ac:dyDescent="0.2">
      <c r="I284" s="82"/>
    </row>
    <row r="285" spans="9:9" ht="12.75" customHeight="1" x14ac:dyDescent="0.2">
      <c r="I285" s="82"/>
    </row>
    <row r="286" spans="9:9" ht="12.75" customHeight="1" x14ac:dyDescent="0.2">
      <c r="I286" s="82"/>
    </row>
    <row r="287" spans="9:9" ht="12.75" customHeight="1" x14ac:dyDescent="0.2">
      <c r="I287" s="82"/>
    </row>
    <row r="288" spans="9:9" ht="12.75" customHeight="1" x14ac:dyDescent="0.2">
      <c r="I288" s="82"/>
    </row>
    <row r="289" spans="9:9" ht="12.75" customHeight="1" x14ac:dyDescent="0.2">
      <c r="I289" s="82"/>
    </row>
    <row r="290" spans="9:9" ht="12.75" customHeight="1" x14ac:dyDescent="0.2">
      <c r="I290" s="82"/>
    </row>
    <row r="291" spans="9:9" ht="12.75" customHeight="1" x14ac:dyDescent="0.2">
      <c r="I291" s="82"/>
    </row>
    <row r="292" spans="9:9" ht="12.75" customHeight="1" x14ac:dyDescent="0.2">
      <c r="I292" s="82"/>
    </row>
    <row r="293" spans="9:9" ht="12.75" customHeight="1" x14ac:dyDescent="0.2">
      <c r="I293" s="82"/>
    </row>
    <row r="294" spans="9:9" ht="12.75" customHeight="1" x14ac:dyDescent="0.2">
      <c r="I294" s="82"/>
    </row>
    <row r="295" spans="9:9" ht="12.75" customHeight="1" x14ac:dyDescent="0.2">
      <c r="I295" s="82"/>
    </row>
    <row r="296" spans="9:9" ht="12.75" customHeight="1" x14ac:dyDescent="0.2">
      <c r="I296" s="82"/>
    </row>
    <row r="297" spans="9:9" ht="12.75" customHeight="1" x14ac:dyDescent="0.2">
      <c r="I297" s="82"/>
    </row>
    <row r="298" spans="9:9" ht="12.75" customHeight="1" x14ac:dyDescent="0.2">
      <c r="I298" s="82"/>
    </row>
    <row r="299" spans="9:9" ht="12.75" customHeight="1" x14ac:dyDescent="0.2">
      <c r="I299" s="82"/>
    </row>
    <row r="300" spans="9:9" ht="12.75" customHeight="1" x14ac:dyDescent="0.2">
      <c r="I300" s="82"/>
    </row>
    <row r="301" spans="9:9" ht="12.75" customHeight="1" x14ac:dyDescent="0.2">
      <c r="I301" s="82"/>
    </row>
    <row r="302" spans="9:9" ht="12.75" customHeight="1" x14ac:dyDescent="0.2">
      <c r="I302" s="82"/>
    </row>
    <row r="303" spans="9:9" ht="12.75" customHeight="1" x14ac:dyDescent="0.2">
      <c r="I303" s="82"/>
    </row>
    <row r="304" spans="9:9" ht="12.75" customHeight="1" x14ac:dyDescent="0.2">
      <c r="I304" s="82"/>
    </row>
    <row r="305" spans="9:9" ht="12.75" customHeight="1" x14ac:dyDescent="0.2">
      <c r="I305" s="82"/>
    </row>
    <row r="306" spans="9:9" ht="12.75" customHeight="1" x14ac:dyDescent="0.2">
      <c r="I306" s="82"/>
    </row>
    <row r="307" spans="9:9" ht="12.75" customHeight="1" x14ac:dyDescent="0.2">
      <c r="I307" s="82"/>
    </row>
    <row r="308" spans="9:9" ht="12.75" customHeight="1" x14ac:dyDescent="0.2">
      <c r="I308" s="82"/>
    </row>
    <row r="309" spans="9:9" ht="12.75" customHeight="1" x14ac:dyDescent="0.2">
      <c r="I309" s="82"/>
    </row>
    <row r="310" spans="9:9" ht="12.75" customHeight="1" x14ac:dyDescent="0.2">
      <c r="I310" s="82"/>
    </row>
    <row r="311" spans="9:9" ht="12.75" customHeight="1" x14ac:dyDescent="0.2">
      <c r="I311" s="82"/>
    </row>
    <row r="312" spans="9:9" ht="12.75" customHeight="1" x14ac:dyDescent="0.2">
      <c r="I312" s="82"/>
    </row>
    <row r="313" spans="9:9" ht="12.75" customHeight="1" x14ac:dyDescent="0.2">
      <c r="I313" s="82"/>
    </row>
    <row r="314" spans="9:9" ht="12.75" customHeight="1" x14ac:dyDescent="0.2">
      <c r="I314" s="82"/>
    </row>
    <row r="315" spans="9:9" ht="12.75" customHeight="1" x14ac:dyDescent="0.2">
      <c r="I315" s="82"/>
    </row>
    <row r="316" spans="9:9" ht="12.75" customHeight="1" x14ac:dyDescent="0.2">
      <c r="I316" s="82"/>
    </row>
    <row r="317" spans="9:9" ht="12.75" customHeight="1" x14ac:dyDescent="0.2">
      <c r="I317" s="82"/>
    </row>
    <row r="318" spans="9:9" ht="12.75" customHeight="1" x14ac:dyDescent="0.2">
      <c r="I318" s="82"/>
    </row>
    <row r="319" spans="9:9" ht="12.75" customHeight="1" x14ac:dyDescent="0.2">
      <c r="I319" s="82"/>
    </row>
    <row r="320" spans="9:9" ht="12.75" customHeight="1" x14ac:dyDescent="0.2">
      <c r="I320" s="82"/>
    </row>
    <row r="321" spans="9:9" ht="12.75" customHeight="1" x14ac:dyDescent="0.2">
      <c r="I321" s="82"/>
    </row>
    <row r="322" spans="9:9" ht="12.75" customHeight="1" x14ac:dyDescent="0.2">
      <c r="I322" s="82"/>
    </row>
    <row r="323" spans="9:9" ht="12.75" customHeight="1" x14ac:dyDescent="0.2">
      <c r="I323" s="82"/>
    </row>
    <row r="324" spans="9:9" ht="12.75" customHeight="1" x14ac:dyDescent="0.2">
      <c r="I324" s="82"/>
    </row>
    <row r="325" spans="9:9" ht="12.75" customHeight="1" x14ac:dyDescent="0.2">
      <c r="I325" s="82"/>
    </row>
    <row r="326" spans="9:9" ht="12.75" customHeight="1" x14ac:dyDescent="0.2">
      <c r="I326" s="82"/>
    </row>
    <row r="327" spans="9:9" ht="12.75" customHeight="1" x14ac:dyDescent="0.2">
      <c r="I327" s="82"/>
    </row>
    <row r="328" spans="9:9" ht="12.75" customHeight="1" x14ac:dyDescent="0.2">
      <c r="I328" s="82"/>
    </row>
    <row r="329" spans="9:9" ht="12.75" customHeight="1" x14ac:dyDescent="0.2">
      <c r="I329" s="82"/>
    </row>
    <row r="330" spans="9:9" ht="12.75" customHeight="1" x14ac:dyDescent="0.2">
      <c r="I330" s="82"/>
    </row>
    <row r="331" spans="9:9" ht="12.75" customHeight="1" x14ac:dyDescent="0.2">
      <c r="I331" s="82"/>
    </row>
    <row r="332" spans="9:9" ht="12.75" customHeight="1" x14ac:dyDescent="0.2">
      <c r="I332" s="82"/>
    </row>
    <row r="333" spans="9:9" ht="12.75" customHeight="1" x14ac:dyDescent="0.2">
      <c r="I333" s="82"/>
    </row>
    <row r="334" spans="9:9" ht="12.75" customHeight="1" x14ac:dyDescent="0.2">
      <c r="I334" s="82"/>
    </row>
    <row r="335" spans="9:9" ht="12.75" customHeight="1" x14ac:dyDescent="0.2">
      <c r="I335" s="82"/>
    </row>
    <row r="336" spans="9:9" ht="12.75" customHeight="1" x14ac:dyDescent="0.2">
      <c r="I336" s="82"/>
    </row>
    <row r="337" spans="9:9" ht="12.75" customHeight="1" x14ac:dyDescent="0.2">
      <c r="I337" s="82"/>
    </row>
    <row r="338" spans="9:9" ht="12.75" customHeight="1" x14ac:dyDescent="0.2">
      <c r="I338" s="82"/>
    </row>
    <row r="339" spans="9:9" ht="12.75" customHeight="1" x14ac:dyDescent="0.2">
      <c r="I339" s="82"/>
    </row>
    <row r="340" spans="9:9" ht="12.75" customHeight="1" x14ac:dyDescent="0.2">
      <c r="I340" s="82"/>
    </row>
    <row r="341" spans="9:9" ht="12.75" customHeight="1" x14ac:dyDescent="0.2">
      <c r="I341" s="82"/>
    </row>
    <row r="342" spans="9:9" ht="12.75" customHeight="1" x14ac:dyDescent="0.2">
      <c r="I342" s="82"/>
    </row>
    <row r="343" spans="9:9" ht="12.75" customHeight="1" x14ac:dyDescent="0.2">
      <c r="I343" s="82"/>
    </row>
    <row r="344" spans="9:9" ht="12.75" customHeight="1" x14ac:dyDescent="0.2">
      <c r="I344" s="82"/>
    </row>
    <row r="345" spans="9:9" ht="12.75" customHeight="1" x14ac:dyDescent="0.2">
      <c r="I345" s="82"/>
    </row>
    <row r="346" spans="9:9" ht="12.75" customHeight="1" x14ac:dyDescent="0.2">
      <c r="I346" s="82"/>
    </row>
    <row r="347" spans="9:9" ht="12.75" customHeight="1" x14ac:dyDescent="0.2">
      <c r="I347" s="82"/>
    </row>
    <row r="348" spans="9:9" ht="12.75" customHeight="1" x14ac:dyDescent="0.2">
      <c r="I348" s="82"/>
    </row>
    <row r="349" spans="9:9" ht="12.75" customHeight="1" x14ac:dyDescent="0.2">
      <c r="I349" s="82"/>
    </row>
    <row r="350" spans="9:9" ht="12.75" customHeight="1" x14ac:dyDescent="0.2">
      <c r="I350" s="82"/>
    </row>
    <row r="351" spans="9:9" ht="12.75" customHeight="1" x14ac:dyDescent="0.2">
      <c r="I351" s="82"/>
    </row>
    <row r="352" spans="9:9" ht="12.75" customHeight="1" x14ac:dyDescent="0.2">
      <c r="I352" s="82"/>
    </row>
    <row r="353" spans="9:9" ht="12.75" customHeight="1" x14ac:dyDescent="0.2">
      <c r="I353" s="82"/>
    </row>
    <row r="354" spans="9:9" ht="12.75" customHeight="1" x14ac:dyDescent="0.2">
      <c r="I354" s="82"/>
    </row>
    <row r="355" spans="9:9" ht="12.75" customHeight="1" x14ac:dyDescent="0.2">
      <c r="I355" s="82"/>
    </row>
    <row r="356" spans="9:9" ht="12.75" customHeight="1" x14ac:dyDescent="0.2">
      <c r="I356" s="82"/>
    </row>
    <row r="357" spans="9:9" ht="12.75" customHeight="1" x14ac:dyDescent="0.2">
      <c r="I357" s="82"/>
    </row>
    <row r="358" spans="9:9" ht="12.75" customHeight="1" x14ac:dyDescent="0.2">
      <c r="I358" s="82"/>
    </row>
    <row r="359" spans="9:9" ht="12.75" customHeight="1" x14ac:dyDescent="0.2">
      <c r="I359" s="82"/>
    </row>
    <row r="360" spans="9:9" ht="12.75" customHeight="1" x14ac:dyDescent="0.2">
      <c r="I360" s="82"/>
    </row>
    <row r="361" spans="9:9" ht="12.75" customHeight="1" x14ac:dyDescent="0.2">
      <c r="I361" s="82"/>
    </row>
    <row r="362" spans="9:9" ht="12.75" customHeight="1" x14ac:dyDescent="0.2">
      <c r="I362" s="82"/>
    </row>
    <row r="363" spans="9:9" ht="12.75" customHeight="1" x14ac:dyDescent="0.2">
      <c r="I363" s="82"/>
    </row>
    <row r="364" spans="9:9" ht="12.75" customHeight="1" x14ac:dyDescent="0.2">
      <c r="I364" s="82"/>
    </row>
    <row r="365" spans="9:9" ht="12.75" customHeight="1" x14ac:dyDescent="0.2">
      <c r="I365" s="82"/>
    </row>
    <row r="366" spans="9:9" ht="12.75" customHeight="1" x14ac:dyDescent="0.2">
      <c r="I366" s="82"/>
    </row>
    <row r="367" spans="9:9" ht="12.75" customHeight="1" x14ac:dyDescent="0.2">
      <c r="I367" s="82"/>
    </row>
    <row r="368" spans="9:9" ht="12.75" customHeight="1" x14ac:dyDescent="0.2">
      <c r="I368" s="82"/>
    </row>
    <row r="369" spans="9:9" ht="12.75" customHeight="1" x14ac:dyDescent="0.2">
      <c r="I369" s="82"/>
    </row>
    <row r="370" spans="9:9" ht="12.75" customHeight="1" x14ac:dyDescent="0.2">
      <c r="I370" s="82"/>
    </row>
    <row r="371" spans="9:9" ht="12.75" customHeight="1" x14ac:dyDescent="0.2">
      <c r="I371" s="82"/>
    </row>
    <row r="372" spans="9:9" ht="12.75" customHeight="1" x14ac:dyDescent="0.2">
      <c r="I372" s="82"/>
    </row>
    <row r="373" spans="9:9" ht="12.75" customHeight="1" x14ac:dyDescent="0.2">
      <c r="I373" s="82"/>
    </row>
    <row r="374" spans="9:9" ht="12.75" customHeight="1" x14ac:dyDescent="0.2">
      <c r="I374" s="82"/>
    </row>
    <row r="375" spans="9:9" ht="12.75" customHeight="1" x14ac:dyDescent="0.2">
      <c r="I375" s="82"/>
    </row>
    <row r="376" spans="9:9" ht="12.75" customHeight="1" x14ac:dyDescent="0.2">
      <c r="I376" s="82"/>
    </row>
    <row r="377" spans="9:9" ht="12.75" customHeight="1" x14ac:dyDescent="0.2">
      <c r="I377" s="82"/>
    </row>
    <row r="378" spans="9:9" ht="12.75" customHeight="1" x14ac:dyDescent="0.2">
      <c r="I378" s="82"/>
    </row>
    <row r="379" spans="9:9" ht="12.75" customHeight="1" x14ac:dyDescent="0.2">
      <c r="I379" s="82"/>
    </row>
    <row r="380" spans="9:9" ht="12.75" customHeight="1" x14ac:dyDescent="0.2">
      <c r="I380" s="82"/>
    </row>
    <row r="381" spans="9:9" ht="12.75" customHeight="1" x14ac:dyDescent="0.2">
      <c r="I381" s="82"/>
    </row>
    <row r="382" spans="9:9" ht="12.75" customHeight="1" x14ac:dyDescent="0.2">
      <c r="I382" s="82"/>
    </row>
    <row r="383" spans="9:9" ht="12.75" customHeight="1" x14ac:dyDescent="0.2">
      <c r="I383" s="82"/>
    </row>
    <row r="384" spans="9:9" ht="12.75" customHeight="1" x14ac:dyDescent="0.2">
      <c r="I384" s="82"/>
    </row>
    <row r="385" spans="9:9" ht="12.75" customHeight="1" x14ac:dyDescent="0.2">
      <c r="I385" s="82"/>
    </row>
    <row r="386" spans="9:9" ht="12.75" customHeight="1" x14ac:dyDescent="0.2">
      <c r="I386" s="82"/>
    </row>
    <row r="387" spans="9:9" ht="12.75" customHeight="1" x14ac:dyDescent="0.2">
      <c r="I387" s="82"/>
    </row>
    <row r="388" spans="9:9" ht="12.75" customHeight="1" x14ac:dyDescent="0.2">
      <c r="I388" s="82"/>
    </row>
    <row r="389" spans="9:9" ht="12.75" customHeight="1" x14ac:dyDescent="0.2">
      <c r="I389" s="82"/>
    </row>
    <row r="390" spans="9:9" ht="12.75" customHeight="1" x14ac:dyDescent="0.2">
      <c r="I390" s="82"/>
    </row>
    <row r="391" spans="9:9" ht="12.75" customHeight="1" x14ac:dyDescent="0.2">
      <c r="I391" s="82"/>
    </row>
    <row r="392" spans="9:9" ht="12.75" customHeight="1" x14ac:dyDescent="0.2">
      <c r="I392" s="82"/>
    </row>
    <row r="393" spans="9:9" ht="12.75" customHeight="1" x14ac:dyDescent="0.2">
      <c r="I393" s="82"/>
    </row>
    <row r="394" spans="9:9" ht="12.75" customHeight="1" x14ac:dyDescent="0.2">
      <c r="I394" s="82"/>
    </row>
    <row r="395" spans="9:9" ht="12.75" customHeight="1" x14ac:dyDescent="0.2">
      <c r="I395" s="82"/>
    </row>
    <row r="396" spans="9:9" ht="12.75" customHeight="1" x14ac:dyDescent="0.2">
      <c r="I396" s="82"/>
    </row>
    <row r="397" spans="9:9" ht="12.75" customHeight="1" x14ac:dyDescent="0.2">
      <c r="I397" s="82"/>
    </row>
    <row r="398" spans="9:9" ht="12.75" customHeight="1" x14ac:dyDescent="0.2">
      <c r="I398" s="82"/>
    </row>
    <row r="399" spans="9:9" ht="12.75" customHeight="1" x14ac:dyDescent="0.2">
      <c r="I399" s="82"/>
    </row>
    <row r="400" spans="9:9" ht="12.75" customHeight="1" x14ac:dyDescent="0.2">
      <c r="I400" s="82"/>
    </row>
    <row r="401" spans="9:9" ht="12.75" customHeight="1" x14ac:dyDescent="0.2">
      <c r="I401" s="82"/>
    </row>
    <row r="402" spans="9:9" ht="12.75" customHeight="1" x14ac:dyDescent="0.2">
      <c r="I402" s="82"/>
    </row>
    <row r="403" spans="9:9" ht="12.75" customHeight="1" x14ac:dyDescent="0.2">
      <c r="I403" s="82"/>
    </row>
    <row r="404" spans="9:9" ht="12.75" customHeight="1" x14ac:dyDescent="0.2">
      <c r="I404" s="82"/>
    </row>
    <row r="405" spans="9:9" ht="12.75" customHeight="1" x14ac:dyDescent="0.2">
      <c r="I405" s="82"/>
    </row>
    <row r="406" spans="9:9" ht="12.75" customHeight="1" x14ac:dyDescent="0.2">
      <c r="I406" s="82"/>
    </row>
    <row r="407" spans="9:9" ht="12.75" customHeight="1" x14ac:dyDescent="0.2">
      <c r="I407" s="82"/>
    </row>
    <row r="408" spans="9:9" ht="12.75" customHeight="1" x14ac:dyDescent="0.2">
      <c r="I408" s="82"/>
    </row>
    <row r="409" spans="9:9" ht="12.75" customHeight="1" x14ac:dyDescent="0.2">
      <c r="I409" s="82"/>
    </row>
    <row r="410" spans="9:9" ht="12.75" customHeight="1" x14ac:dyDescent="0.2">
      <c r="I410" s="82"/>
    </row>
    <row r="411" spans="9:9" ht="12.75" customHeight="1" x14ac:dyDescent="0.2">
      <c r="I411" s="82"/>
    </row>
    <row r="412" spans="9:9" ht="12.75" customHeight="1" x14ac:dyDescent="0.2">
      <c r="I412" s="82"/>
    </row>
    <row r="413" spans="9:9" ht="12.75" customHeight="1" x14ac:dyDescent="0.2">
      <c r="I413" s="82"/>
    </row>
    <row r="414" spans="9:9" ht="12.75" customHeight="1" x14ac:dyDescent="0.2">
      <c r="I414" s="82"/>
    </row>
    <row r="415" spans="9:9" ht="12.75" customHeight="1" x14ac:dyDescent="0.2">
      <c r="I415" s="82"/>
    </row>
    <row r="416" spans="9:9" ht="12.75" customHeight="1" x14ac:dyDescent="0.2">
      <c r="I416" s="82"/>
    </row>
    <row r="417" spans="9:9" ht="12.75" customHeight="1" x14ac:dyDescent="0.2">
      <c r="I417" s="82"/>
    </row>
    <row r="418" spans="9:9" ht="12.75" customHeight="1" x14ac:dyDescent="0.2">
      <c r="I418" s="82"/>
    </row>
    <row r="419" spans="9:9" ht="12.75" customHeight="1" x14ac:dyDescent="0.2">
      <c r="I419" s="82"/>
    </row>
    <row r="420" spans="9:9" ht="12.75" customHeight="1" x14ac:dyDescent="0.2">
      <c r="I420" s="82"/>
    </row>
    <row r="421" spans="9:9" ht="12.75" customHeight="1" x14ac:dyDescent="0.2">
      <c r="I421" s="82"/>
    </row>
    <row r="422" spans="9:9" ht="12.75" customHeight="1" x14ac:dyDescent="0.2">
      <c r="I422" s="82"/>
    </row>
    <row r="423" spans="9:9" ht="12.75" customHeight="1" x14ac:dyDescent="0.2">
      <c r="I423" s="82"/>
    </row>
    <row r="424" spans="9:9" ht="12.75" customHeight="1" x14ac:dyDescent="0.2">
      <c r="I424" s="82"/>
    </row>
    <row r="425" spans="9:9" ht="12.75" customHeight="1" x14ac:dyDescent="0.2">
      <c r="I425" s="82"/>
    </row>
    <row r="426" spans="9:9" ht="12.75" customHeight="1" x14ac:dyDescent="0.2">
      <c r="I426" s="82"/>
    </row>
    <row r="427" spans="9:9" ht="12.75" customHeight="1" x14ac:dyDescent="0.2">
      <c r="I427" s="82"/>
    </row>
    <row r="428" spans="9:9" ht="12.75" customHeight="1" x14ac:dyDescent="0.2">
      <c r="I428" s="82"/>
    </row>
    <row r="429" spans="9:9" ht="12.75" customHeight="1" x14ac:dyDescent="0.2">
      <c r="I429" s="82"/>
    </row>
    <row r="430" spans="9:9" ht="12.75" customHeight="1" x14ac:dyDescent="0.2">
      <c r="I430" s="82"/>
    </row>
    <row r="431" spans="9:9" ht="12.75" customHeight="1" x14ac:dyDescent="0.2">
      <c r="I431" s="82"/>
    </row>
    <row r="432" spans="9:9" ht="12.75" customHeight="1" x14ac:dyDescent="0.2">
      <c r="I432" s="82"/>
    </row>
    <row r="433" spans="9:9" ht="12.75" customHeight="1" x14ac:dyDescent="0.2">
      <c r="I433" s="82"/>
    </row>
    <row r="434" spans="9:9" ht="12.75" customHeight="1" x14ac:dyDescent="0.2">
      <c r="I434" s="82"/>
    </row>
    <row r="435" spans="9:9" ht="12.75" customHeight="1" x14ac:dyDescent="0.2">
      <c r="I435" s="82"/>
    </row>
    <row r="436" spans="9:9" ht="12.75" customHeight="1" x14ac:dyDescent="0.2">
      <c r="I436" s="82"/>
    </row>
    <row r="437" spans="9:9" ht="12.75" customHeight="1" x14ac:dyDescent="0.2">
      <c r="I437" s="82"/>
    </row>
    <row r="438" spans="9:9" ht="12.75" customHeight="1" x14ac:dyDescent="0.2">
      <c r="I438" s="82"/>
    </row>
    <row r="439" spans="9:9" ht="12.75" customHeight="1" x14ac:dyDescent="0.2">
      <c r="I439" s="82"/>
    </row>
    <row r="440" spans="9:9" ht="12.75" customHeight="1" x14ac:dyDescent="0.2">
      <c r="I440" s="82"/>
    </row>
    <row r="441" spans="9:9" ht="12.75" customHeight="1" x14ac:dyDescent="0.2">
      <c r="I441" s="82"/>
    </row>
    <row r="442" spans="9:9" ht="12.75" customHeight="1" x14ac:dyDescent="0.2">
      <c r="I442" s="82"/>
    </row>
    <row r="443" spans="9:9" ht="12.75" customHeight="1" x14ac:dyDescent="0.2">
      <c r="I443" s="82"/>
    </row>
    <row r="444" spans="9:9" ht="12.75" customHeight="1" x14ac:dyDescent="0.2">
      <c r="I444" s="82"/>
    </row>
    <row r="445" spans="9:9" ht="12.75" customHeight="1" x14ac:dyDescent="0.2">
      <c r="I445" s="82"/>
    </row>
    <row r="446" spans="9:9" ht="12.75" customHeight="1" x14ac:dyDescent="0.2">
      <c r="I446" s="82"/>
    </row>
    <row r="447" spans="9:9" ht="12.75" customHeight="1" x14ac:dyDescent="0.2">
      <c r="I447" s="82"/>
    </row>
    <row r="448" spans="9:9" ht="12.75" customHeight="1" x14ac:dyDescent="0.2">
      <c r="I448" s="82"/>
    </row>
    <row r="449" spans="9:9" ht="12.75" customHeight="1" x14ac:dyDescent="0.2">
      <c r="I449" s="82"/>
    </row>
    <row r="450" spans="9:9" ht="12.75" customHeight="1" x14ac:dyDescent="0.2">
      <c r="I450" s="82"/>
    </row>
    <row r="451" spans="9:9" ht="12.75" customHeight="1" x14ac:dyDescent="0.2">
      <c r="I451" s="82"/>
    </row>
    <row r="452" spans="9:9" ht="12.75" customHeight="1" x14ac:dyDescent="0.2">
      <c r="I452" s="82"/>
    </row>
    <row r="453" spans="9:9" ht="12.75" customHeight="1" x14ac:dyDescent="0.2">
      <c r="I453" s="82"/>
    </row>
    <row r="454" spans="9:9" ht="12.75" customHeight="1" x14ac:dyDescent="0.2">
      <c r="I454" s="82"/>
    </row>
    <row r="455" spans="9:9" ht="12.75" customHeight="1" x14ac:dyDescent="0.2">
      <c r="I455" s="82"/>
    </row>
    <row r="456" spans="9:9" ht="12.75" customHeight="1" x14ac:dyDescent="0.2">
      <c r="I456" s="82"/>
    </row>
    <row r="457" spans="9:9" ht="12.75" customHeight="1" x14ac:dyDescent="0.2">
      <c r="I457" s="82"/>
    </row>
    <row r="458" spans="9:9" ht="12.75" customHeight="1" x14ac:dyDescent="0.2">
      <c r="I458" s="82"/>
    </row>
    <row r="459" spans="9:9" ht="12.75" customHeight="1" x14ac:dyDescent="0.2">
      <c r="I459" s="82"/>
    </row>
    <row r="460" spans="9:9" ht="12.75" customHeight="1" x14ac:dyDescent="0.2">
      <c r="I460" s="82"/>
    </row>
    <row r="461" spans="9:9" ht="12.75" customHeight="1" x14ac:dyDescent="0.2">
      <c r="I461" s="82"/>
    </row>
    <row r="462" spans="9:9" ht="12.75" customHeight="1" x14ac:dyDescent="0.2">
      <c r="I462" s="82"/>
    </row>
    <row r="463" spans="9:9" ht="12.75" customHeight="1" x14ac:dyDescent="0.2">
      <c r="I463" s="82"/>
    </row>
    <row r="464" spans="9:9" ht="12.75" customHeight="1" x14ac:dyDescent="0.2">
      <c r="I464" s="82"/>
    </row>
    <row r="465" spans="9:9" ht="12.75" customHeight="1" x14ac:dyDescent="0.2">
      <c r="I465" s="82"/>
    </row>
    <row r="466" spans="9:9" ht="12.75" customHeight="1" x14ac:dyDescent="0.2">
      <c r="I466" s="82"/>
    </row>
    <row r="467" spans="9:9" ht="12.75" customHeight="1" x14ac:dyDescent="0.2">
      <c r="I467" s="82"/>
    </row>
    <row r="468" spans="9:9" ht="12.75" customHeight="1" x14ac:dyDescent="0.2">
      <c r="I468" s="82"/>
    </row>
    <row r="469" spans="9:9" ht="12.75" customHeight="1" x14ac:dyDescent="0.2">
      <c r="I469" s="82"/>
    </row>
    <row r="470" spans="9:9" ht="12.75" customHeight="1" x14ac:dyDescent="0.2">
      <c r="I470" s="82"/>
    </row>
    <row r="471" spans="9:9" ht="12.75" customHeight="1" x14ac:dyDescent="0.2">
      <c r="I471" s="82"/>
    </row>
    <row r="472" spans="9:9" ht="12.75" customHeight="1" x14ac:dyDescent="0.2">
      <c r="I472" s="82"/>
    </row>
    <row r="473" spans="9:9" ht="12.75" customHeight="1" x14ac:dyDescent="0.2">
      <c r="I473" s="82"/>
    </row>
    <row r="474" spans="9:9" ht="12.75" customHeight="1" x14ac:dyDescent="0.2">
      <c r="I474" s="82"/>
    </row>
    <row r="475" spans="9:9" ht="12.75" customHeight="1" x14ac:dyDescent="0.2">
      <c r="I475" s="82"/>
    </row>
    <row r="476" spans="9:9" ht="12.75" customHeight="1" x14ac:dyDescent="0.2">
      <c r="I476" s="82"/>
    </row>
    <row r="477" spans="9:9" ht="12.75" customHeight="1" x14ac:dyDescent="0.2">
      <c r="I477" s="82"/>
    </row>
    <row r="478" spans="9:9" ht="12.75" customHeight="1" x14ac:dyDescent="0.2">
      <c r="I478" s="82"/>
    </row>
    <row r="479" spans="9:9" ht="12.75" customHeight="1" x14ac:dyDescent="0.2">
      <c r="I479" s="82"/>
    </row>
    <row r="480" spans="9:9" ht="12.75" customHeight="1" x14ac:dyDescent="0.2">
      <c r="I480" s="82"/>
    </row>
    <row r="481" spans="9:9" ht="12.75" customHeight="1" x14ac:dyDescent="0.2">
      <c r="I481" s="82"/>
    </row>
    <row r="482" spans="9:9" ht="12.75" customHeight="1" x14ac:dyDescent="0.2">
      <c r="I482" s="82"/>
    </row>
    <row r="483" spans="9:9" ht="12.75" customHeight="1" x14ac:dyDescent="0.2">
      <c r="I483" s="82"/>
    </row>
    <row r="484" spans="9:9" ht="12.75" customHeight="1" x14ac:dyDescent="0.2">
      <c r="I484" s="82"/>
    </row>
    <row r="485" spans="9:9" ht="12.75" customHeight="1" x14ac:dyDescent="0.2">
      <c r="I485" s="82"/>
    </row>
    <row r="486" spans="9:9" ht="12.75" customHeight="1" x14ac:dyDescent="0.2">
      <c r="I486" s="82"/>
    </row>
    <row r="487" spans="9:9" ht="12.75" customHeight="1" x14ac:dyDescent="0.2">
      <c r="I487" s="82"/>
    </row>
    <row r="488" spans="9:9" ht="12.75" customHeight="1" x14ac:dyDescent="0.2">
      <c r="I488" s="82"/>
    </row>
    <row r="489" spans="9:9" ht="12.75" customHeight="1" x14ac:dyDescent="0.2">
      <c r="I489" s="82"/>
    </row>
    <row r="490" spans="9:9" ht="12.75" customHeight="1" x14ac:dyDescent="0.2">
      <c r="I490" s="82"/>
    </row>
    <row r="491" spans="9:9" ht="12.75" customHeight="1" x14ac:dyDescent="0.2">
      <c r="I491" s="82"/>
    </row>
    <row r="492" spans="9:9" ht="12.75" customHeight="1" x14ac:dyDescent="0.2">
      <c r="I492" s="82"/>
    </row>
    <row r="493" spans="9:9" ht="12.75" customHeight="1" x14ac:dyDescent="0.2">
      <c r="I493" s="82"/>
    </row>
    <row r="494" spans="9:9" ht="12.75" customHeight="1" x14ac:dyDescent="0.2">
      <c r="I494" s="82"/>
    </row>
    <row r="495" spans="9:9" ht="12.75" customHeight="1" x14ac:dyDescent="0.2">
      <c r="I495" s="82"/>
    </row>
    <row r="496" spans="9:9" ht="12.75" customHeight="1" x14ac:dyDescent="0.2">
      <c r="I496" s="82"/>
    </row>
    <row r="497" spans="9:9" ht="12.75" customHeight="1" x14ac:dyDescent="0.2">
      <c r="I497" s="82"/>
    </row>
    <row r="498" spans="9:9" ht="12.75" customHeight="1" x14ac:dyDescent="0.2">
      <c r="I498" s="82"/>
    </row>
    <row r="499" spans="9:9" ht="12.75" customHeight="1" x14ac:dyDescent="0.2">
      <c r="I499" s="82"/>
    </row>
    <row r="500" spans="9:9" ht="12.75" customHeight="1" x14ac:dyDescent="0.2">
      <c r="I500" s="82"/>
    </row>
    <row r="501" spans="9:9" ht="12.75" customHeight="1" x14ac:dyDescent="0.2">
      <c r="I501" s="82"/>
    </row>
    <row r="502" spans="9:9" ht="12.75" customHeight="1" x14ac:dyDescent="0.2">
      <c r="I502" s="82"/>
    </row>
    <row r="503" spans="9:9" ht="12.75" customHeight="1" x14ac:dyDescent="0.2">
      <c r="I503" s="82"/>
    </row>
    <row r="504" spans="9:9" ht="12.75" customHeight="1" x14ac:dyDescent="0.2">
      <c r="I504" s="82"/>
    </row>
    <row r="505" spans="9:9" ht="12.75" customHeight="1" x14ac:dyDescent="0.2">
      <c r="I505" s="82"/>
    </row>
    <row r="506" spans="9:9" ht="12.75" customHeight="1" x14ac:dyDescent="0.2">
      <c r="I506" s="82"/>
    </row>
    <row r="507" spans="9:9" ht="12.75" customHeight="1" x14ac:dyDescent="0.2">
      <c r="I507" s="82"/>
    </row>
    <row r="508" spans="9:9" ht="12.75" customHeight="1" x14ac:dyDescent="0.2">
      <c r="I508" s="82"/>
    </row>
    <row r="509" spans="9:9" ht="12.75" customHeight="1" x14ac:dyDescent="0.2">
      <c r="I509" s="82"/>
    </row>
    <row r="510" spans="9:9" ht="12.75" customHeight="1" x14ac:dyDescent="0.2">
      <c r="I510" s="82"/>
    </row>
    <row r="511" spans="9:9" ht="12.75" customHeight="1" x14ac:dyDescent="0.2">
      <c r="I511" s="82"/>
    </row>
    <row r="512" spans="9:9" ht="12.75" customHeight="1" x14ac:dyDescent="0.2">
      <c r="I512" s="82"/>
    </row>
    <row r="513" spans="9:9" ht="12.75" customHeight="1" x14ac:dyDescent="0.2">
      <c r="I513" s="82"/>
    </row>
    <row r="514" spans="9:9" ht="12.75" customHeight="1" x14ac:dyDescent="0.2">
      <c r="I514" s="82"/>
    </row>
    <row r="515" spans="9:9" ht="12.75" customHeight="1" x14ac:dyDescent="0.2">
      <c r="I515" s="82"/>
    </row>
    <row r="516" spans="9:9" ht="12.75" customHeight="1" x14ac:dyDescent="0.2">
      <c r="I516" s="82"/>
    </row>
    <row r="517" spans="9:9" ht="12.75" customHeight="1" x14ac:dyDescent="0.2">
      <c r="I517" s="82"/>
    </row>
    <row r="518" spans="9:9" ht="12.75" customHeight="1" x14ac:dyDescent="0.2">
      <c r="I518" s="82"/>
    </row>
    <row r="519" spans="9:9" ht="12.75" customHeight="1" x14ac:dyDescent="0.2">
      <c r="I519" s="82"/>
    </row>
    <row r="520" spans="9:9" ht="12.75" customHeight="1" x14ac:dyDescent="0.2">
      <c r="I520" s="82"/>
    </row>
    <row r="521" spans="9:9" ht="12.75" customHeight="1" x14ac:dyDescent="0.2">
      <c r="I521" s="82"/>
    </row>
    <row r="522" spans="9:9" ht="12.75" customHeight="1" x14ac:dyDescent="0.2">
      <c r="I522" s="82"/>
    </row>
    <row r="523" spans="9:9" ht="12.75" customHeight="1" x14ac:dyDescent="0.2">
      <c r="I523" s="82"/>
    </row>
    <row r="524" spans="9:9" ht="12.75" customHeight="1" x14ac:dyDescent="0.2">
      <c r="I524" s="82"/>
    </row>
    <row r="525" spans="9:9" ht="12.75" customHeight="1" x14ac:dyDescent="0.2">
      <c r="I525" s="82"/>
    </row>
    <row r="526" spans="9:9" ht="12.75" customHeight="1" x14ac:dyDescent="0.2">
      <c r="I526" s="82"/>
    </row>
    <row r="527" spans="9:9" ht="12.75" customHeight="1" x14ac:dyDescent="0.2">
      <c r="I527" s="82"/>
    </row>
    <row r="528" spans="9:9" ht="12.75" customHeight="1" x14ac:dyDescent="0.2">
      <c r="I528" s="82"/>
    </row>
    <row r="529" spans="9:9" ht="12.75" customHeight="1" x14ac:dyDescent="0.2">
      <c r="I529" s="82"/>
    </row>
    <row r="530" spans="9:9" ht="12.75" customHeight="1" x14ac:dyDescent="0.2">
      <c r="I530" s="82"/>
    </row>
    <row r="531" spans="9:9" ht="12.75" customHeight="1" x14ac:dyDescent="0.2">
      <c r="I531" s="82"/>
    </row>
    <row r="532" spans="9:9" ht="12.75" customHeight="1" x14ac:dyDescent="0.2">
      <c r="I532" s="82"/>
    </row>
    <row r="533" spans="9:9" ht="12.75" customHeight="1" x14ac:dyDescent="0.2">
      <c r="I533" s="82"/>
    </row>
    <row r="534" spans="9:9" ht="12.75" customHeight="1" x14ac:dyDescent="0.2">
      <c r="I534" s="82"/>
    </row>
    <row r="535" spans="9:9" ht="12.75" customHeight="1" x14ac:dyDescent="0.2">
      <c r="I535" s="82"/>
    </row>
    <row r="536" spans="9:9" ht="12.75" customHeight="1" x14ac:dyDescent="0.2">
      <c r="I536" s="82"/>
    </row>
    <row r="537" spans="9:9" ht="12.75" customHeight="1" x14ac:dyDescent="0.2">
      <c r="I537" s="82"/>
    </row>
    <row r="538" spans="9:9" ht="12.75" customHeight="1" x14ac:dyDescent="0.2">
      <c r="I538" s="82"/>
    </row>
    <row r="539" spans="9:9" ht="12.75" customHeight="1" x14ac:dyDescent="0.2">
      <c r="I539" s="82"/>
    </row>
    <row r="540" spans="9:9" ht="12.75" customHeight="1" x14ac:dyDescent="0.2">
      <c r="I540" s="82"/>
    </row>
    <row r="541" spans="9:9" ht="12.75" customHeight="1" x14ac:dyDescent="0.2">
      <c r="I541" s="82"/>
    </row>
    <row r="542" spans="9:9" ht="12.75" customHeight="1" x14ac:dyDescent="0.2">
      <c r="I542" s="82"/>
    </row>
    <row r="543" spans="9:9" ht="12.75" customHeight="1" x14ac:dyDescent="0.2">
      <c r="I543" s="82"/>
    </row>
    <row r="544" spans="9:9" ht="12.75" customHeight="1" x14ac:dyDescent="0.2">
      <c r="I544" s="82"/>
    </row>
    <row r="545" spans="9:9" ht="12.75" customHeight="1" x14ac:dyDescent="0.2">
      <c r="I545" s="82"/>
    </row>
    <row r="546" spans="9:9" ht="12.75" customHeight="1" x14ac:dyDescent="0.2">
      <c r="I546" s="82"/>
    </row>
    <row r="547" spans="9:9" ht="12.75" customHeight="1" x14ac:dyDescent="0.2">
      <c r="I547" s="82"/>
    </row>
    <row r="548" spans="9:9" ht="12.75" customHeight="1" x14ac:dyDescent="0.2">
      <c r="I548" s="82"/>
    </row>
    <row r="549" spans="9:9" ht="12.75" customHeight="1" x14ac:dyDescent="0.2">
      <c r="I549" s="82"/>
    </row>
    <row r="550" spans="9:9" ht="12.75" customHeight="1" x14ac:dyDescent="0.2">
      <c r="I550" s="82"/>
    </row>
    <row r="551" spans="9:9" ht="12.75" customHeight="1" x14ac:dyDescent="0.2">
      <c r="I551" s="82"/>
    </row>
    <row r="552" spans="9:9" ht="12.75" customHeight="1" x14ac:dyDescent="0.2">
      <c r="I552" s="82"/>
    </row>
    <row r="553" spans="9:9" ht="12.75" customHeight="1" x14ac:dyDescent="0.2">
      <c r="I553" s="82"/>
    </row>
    <row r="554" spans="9:9" ht="12.75" customHeight="1" x14ac:dyDescent="0.2">
      <c r="I554" s="82"/>
    </row>
    <row r="555" spans="9:9" ht="12.75" customHeight="1" x14ac:dyDescent="0.2">
      <c r="I555" s="82"/>
    </row>
    <row r="556" spans="9:9" ht="12.75" customHeight="1" x14ac:dyDescent="0.2">
      <c r="I556" s="82"/>
    </row>
    <row r="557" spans="9:9" ht="12.75" customHeight="1" x14ac:dyDescent="0.2">
      <c r="I557" s="82"/>
    </row>
    <row r="558" spans="9:9" ht="12.75" customHeight="1" x14ac:dyDescent="0.2">
      <c r="I558" s="82"/>
    </row>
    <row r="559" spans="9:9" ht="12.75" customHeight="1" x14ac:dyDescent="0.2">
      <c r="I559" s="82"/>
    </row>
    <row r="560" spans="9:9" ht="12.75" customHeight="1" x14ac:dyDescent="0.2">
      <c r="I560" s="82"/>
    </row>
    <row r="561" spans="9:9" ht="12.75" customHeight="1" x14ac:dyDescent="0.2">
      <c r="I561" s="82"/>
    </row>
    <row r="562" spans="9:9" ht="12.75" customHeight="1" x14ac:dyDescent="0.2">
      <c r="I562" s="82"/>
    </row>
    <row r="563" spans="9:9" ht="12.75" customHeight="1" x14ac:dyDescent="0.2">
      <c r="I563" s="82"/>
    </row>
    <row r="564" spans="9:9" ht="12.75" customHeight="1" x14ac:dyDescent="0.2">
      <c r="I564" s="82"/>
    </row>
    <row r="565" spans="9:9" ht="12.75" customHeight="1" x14ac:dyDescent="0.2">
      <c r="I565" s="82"/>
    </row>
    <row r="566" spans="9:9" ht="12.75" customHeight="1" x14ac:dyDescent="0.2">
      <c r="I566" s="82"/>
    </row>
    <row r="567" spans="9:9" ht="12.75" customHeight="1" x14ac:dyDescent="0.2">
      <c r="I567" s="82"/>
    </row>
    <row r="568" spans="9:9" ht="12.75" customHeight="1" x14ac:dyDescent="0.2">
      <c r="I568" s="82"/>
    </row>
    <row r="569" spans="9:9" ht="12.75" customHeight="1" x14ac:dyDescent="0.2">
      <c r="I569" s="82"/>
    </row>
    <row r="570" spans="9:9" ht="12.75" customHeight="1" x14ac:dyDescent="0.2">
      <c r="I570" s="82"/>
    </row>
    <row r="571" spans="9:9" ht="12.75" customHeight="1" x14ac:dyDescent="0.2">
      <c r="I571" s="82"/>
    </row>
    <row r="572" spans="9:9" ht="12.75" customHeight="1" x14ac:dyDescent="0.2">
      <c r="I572" s="82"/>
    </row>
    <row r="573" spans="9:9" ht="12.75" customHeight="1" x14ac:dyDescent="0.2">
      <c r="I573" s="82"/>
    </row>
    <row r="574" spans="9:9" ht="12.75" customHeight="1" x14ac:dyDescent="0.2">
      <c r="I574" s="82"/>
    </row>
    <row r="575" spans="9:9" ht="12.75" customHeight="1" x14ac:dyDescent="0.2">
      <c r="I575" s="82"/>
    </row>
    <row r="576" spans="9:9" ht="12.75" customHeight="1" x14ac:dyDescent="0.2">
      <c r="I576" s="82"/>
    </row>
    <row r="577" spans="9:9" ht="12.75" customHeight="1" x14ac:dyDescent="0.2">
      <c r="I577" s="82"/>
    </row>
    <row r="578" spans="9:9" ht="12.75" customHeight="1" x14ac:dyDescent="0.2">
      <c r="I578" s="82"/>
    </row>
    <row r="579" spans="9:9" ht="12.75" customHeight="1" x14ac:dyDescent="0.2">
      <c r="I579" s="82"/>
    </row>
    <row r="580" spans="9:9" ht="12.75" customHeight="1" x14ac:dyDescent="0.2">
      <c r="I580" s="82"/>
    </row>
    <row r="581" spans="9:9" ht="12.75" customHeight="1" x14ac:dyDescent="0.2">
      <c r="I581" s="82"/>
    </row>
    <row r="582" spans="9:9" ht="12.75" customHeight="1" x14ac:dyDescent="0.2">
      <c r="I582" s="82"/>
    </row>
    <row r="583" spans="9:9" ht="12.75" customHeight="1" x14ac:dyDescent="0.2">
      <c r="I583" s="82"/>
    </row>
    <row r="584" spans="9:9" ht="12.75" customHeight="1" x14ac:dyDescent="0.2">
      <c r="I584" s="82"/>
    </row>
    <row r="585" spans="9:9" ht="12.75" customHeight="1" x14ac:dyDescent="0.2">
      <c r="I585" s="82"/>
    </row>
    <row r="586" spans="9:9" ht="12.75" customHeight="1" x14ac:dyDescent="0.2">
      <c r="I586" s="82"/>
    </row>
    <row r="587" spans="9:9" ht="12.75" customHeight="1" x14ac:dyDescent="0.2">
      <c r="I587" s="82"/>
    </row>
    <row r="588" spans="9:9" ht="12.75" customHeight="1" x14ac:dyDescent="0.2">
      <c r="I588" s="82"/>
    </row>
    <row r="589" spans="9:9" ht="12.75" customHeight="1" x14ac:dyDescent="0.2">
      <c r="I589" s="82"/>
    </row>
    <row r="590" spans="9:9" ht="12.75" customHeight="1" x14ac:dyDescent="0.2">
      <c r="I590" s="82"/>
    </row>
    <row r="591" spans="9:9" ht="12.75" customHeight="1" x14ac:dyDescent="0.2">
      <c r="I591" s="82"/>
    </row>
    <row r="592" spans="9:9" ht="12.75" customHeight="1" x14ac:dyDescent="0.2">
      <c r="I592" s="82"/>
    </row>
    <row r="593" spans="9:9" ht="12.75" customHeight="1" x14ac:dyDescent="0.2">
      <c r="I593" s="82"/>
    </row>
    <row r="594" spans="9:9" ht="12.75" customHeight="1" x14ac:dyDescent="0.2">
      <c r="I594" s="82"/>
    </row>
    <row r="595" spans="9:9" ht="12.75" customHeight="1" x14ac:dyDescent="0.2">
      <c r="I595" s="82"/>
    </row>
    <row r="596" spans="9:9" ht="12.75" customHeight="1" x14ac:dyDescent="0.2">
      <c r="I596" s="82"/>
    </row>
    <row r="597" spans="9:9" ht="12.75" customHeight="1" x14ac:dyDescent="0.2">
      <c r="I597" s="82"/>
    </row>
    <row r="598" spans="9:9" ht="12.75" customHeight="1" x14ac:dyDescent="0.2">
      <c r="I598" s="82"/>
    </row>
    <row r="599" spans="9:9" ht="12.75" customHeight="1" x14ac:dyDescent="0.2">
      <c r="I599" s="82"/>
    </row>
    <row r="600" spans="9:9" ht="12.75" customHeight="1" x14ac:dyDescent="0.2">
      <c r="I600" s="82"/>
    </row>
    <row r="601" spans="9:9" ht="12.75" customHeight="1" x14ac:dyDescent="0.2">
      <c r="I601" s="82"/>
    </row>
    <row r="602" spans="9:9" ht="12.75" customHeight="1" x14ac:dyDescent="0.2">
      <c r="I602" s="82"/>
    </row>
    <row r="603" spans="9:9" ht="12.75" customHeight="1" x14ac:dyDescent="0.2">
      <c r="I603" s="82"/>
    </row>
    <row r="604" spans="9:9" ht="12.75" customHeight="1" x14ac:dyDescent="0.2">
      <c r="I604" s="82"/>
    </row>
    <row r="605" spans="9:9" ht="12.75" customHeight="1" x14ac:dyDescent="0.2">
      <c r="I605" s="82"/>
    </row>
    <row r="606" spans="9:9" ht="12.75" customHeight="1" x14ac:dyDescent="0.2">
      <c r="I606" s="82"/>
    </row>
    <row r="607" spans="9:9" ht="12.75" customHeight="1" x14ac:dyDescent="0.2">
      <c r="I607" s="82"/>
    </row>
    <row r="608" spans="9:9" ht="12.75" customHeight="1" x14ac:dyDescent="0.2">
      <c r="I608" s="82"/>
    </row>
    <row r="609" spans="9:9" ht="12.75" customHeight="1" x14ac:dyDescent="0.2">
      <c r="I609" s="82"/>
    </row>
    <row r="610" spans="9:9" ht="12.75" customHeight="1" x14ac:dyDescent="0.2">
      <c r="I610" s="82"/>
    </row>
    <row r="611" spans="9:9" ht="12.75" customHeight="1" x14ac:dyDescent="0.2">
      <c r="I611" s="82"/>
    </row>
    <row r="612" spans="9:9" ht="12.75" customHeight="1" x14ac:dyDescent="0.2">
      <c r="I612" s="82"/>
    </row>
    <row r="613" spans="9:9" ht="12.75" customHeight="1" x14ac:dyDescent="0.2">
      <c r="I613" s="82"/>
    </row>
    <row r="614" spans="9:9" ht="12.75" customHeight="1" x14ac:dyDescent="0.2">
      <c r="I614" s="82"/>
    </row>
    <row r="615" spans="9:9" ht="12.75" customHeight="1" x14ac:dyDescent="0.2">
      <c r="I615" s="82"/>
    </row>
    <row r="616" spans="9:9" ht="12.75" customHeight="1" x14ac:dyDescent="0.2">
      <c r="I616" s="82"/>
    </row>
    <row r="617" spans="9:9" ht="12.75" customHeight="1" x14ac:dyDescent="0.2">
      <c r="I617" s="82"/>
    </row>
    <row r="618" spans="9:9" ht="12.75" customHeight="1" x14ac:dyDescent="0.2">
      <c r="I618" s="82"/>
    </row>
    <row r="619" spans="9:9" ht="12.75" customHeight="1" x14ac:dyDescent="0.2">
      <c r="I619" s="82"/>
    </row>
    <row r="620" spans="9:9" ht="12.75" customHeight="1" x14ac:dyDescent="0.2">
      <c r="I620" s="82"/>
    </row>
    <row r="621" spans="9:9" ht="12.75" customHeight="1" x14ac:dyDescent="0.2">
      <c r="I621" s="82"/>
    </row>
    <row r="622" spans="9:9" ht="12.75" customHeight="1" x14ac:dyDescent="0.2">
      <c r="I622" s="82"/>
    </row>
    <row r="623" spans="9:9" ht="12.75" customHeight="1" x14ac:dyDescent="0.2">
      <c r="I623" s="82"/>
    </row>
    <row r="624" spans="9:9" ht="12.75" customHeight="1" x14ac:dyDescent="0.2">
      <c r="I624" s="82"/>
    </row>
    <row r="625" spans="9:9" ht="12.75" customHeight="1" x14ac:dyDescent="0.2">
      <c r="I625" s="82"/>
    </row>
    <row r="626" spans="9:9" ht="12.75" customHeight="1" x14ac:dyDescent="0.2">
      <c r="I626" s="82"/>
    </row>
    <row r="627" spans="9:9" ht="12.75" customHeight="1" x14ac:dyDescent="0.2">
      <c r="I627" s="82"/>
    </row>
    <row r="628" spans="9:9" ht="12.75" customHeight="1" x14ac:dyDescent="0.2">
      <c r="I628" s="82"/>
    </row>
    <row r="629" spans="9:9" ht="12.75" customHeight="1" x14ac:dyDescent="0.2">
      <c r="I629" s="82"/>
    </row>
    <row r="630" spans="9:9" ht="12.75" customHeight="1" x14ac:dyDescent="0.2">
      <c r="I630" s="82"/>
    </row>
    <row r="631" spans="9:9" ht="12.75" customHeight="1" x14ac:dyDescent="0.2">
      <c r="I631" s="82"/>
    </row>
    <row r="632" spans="9:9" ht="12.75" customHeight="1" x14ac:dyDescent="0.2">
      <c r="I632" s="82"/>
    </row>
    <row r="633" spans="9:9" ht="12.75" customHeight="1" x14ac:dyDescent="0.2">
      <c r="I633" s="82"/>
    </row>
    <row r="634" spans="9:9" ht="12.75" customHeight="1" x14ac:dyDescent="0.2">
      <c r="I634" s="82"/>
    </row>
    <row r="635" spans="9:9" ht="12.75" customHeight="1" x14ac:dyDescent="0.2">
      <c r="I635" s="82"/>
    </row>
    <row r="636" spans="9:9" ht="12.75" customHeight="1" x14ac:dyDescent="0.2">
      <c r="I636" s="82"/>
    </row>
    <row r="637" spans="9:9" ht="12.75" customHeight="1" x14ac:dyDescent="0.2">
      <c r="I637" s="82"/>
    </row>
    <row r="638" spans="9:9" ht="12.75" customHeight="1" x14ac:dyDescent="0.2">
      <c r="I638" s="82"/>
    </row>
    <row r="639" spans="9:9" ht="12.75" customHeight="1" x14ac:dyDescent="0.2">
      <c r="I639" s="82"/>
    </row>
    <row r="640" spans="9:9" ht="12.75" customHeight="1" x14ac:dyDescent="0.2">
      <c r="I640" s="82"/>
    </row>
    <row r="641" spans="9:9" ht="12.75" customHeight="1" x14ac:dyDescent="0.2">
      <c r="I641" s="82"/>
    </row>
    <row r="642" spans="9:9" ht="12.75" customHeight="1" x14ac:dyDescent="0.2">
      <c r="I642" s="82"/>
    </row>
    <row r="643" spans="9:9" ht="12.75" customHeight="1" x14ac:dyDescent="0.2">
      <c r="I643" s="82"/>
    </row>
    <row r="644" spans="9:9" ht="12.75" customHeight="1" x14ac:dyDescent="0.2">
      <c r="I644" s="82"/>
    </row>
    <row r="645" spans="9:9" ht="12.75" customHeight="1" x14ac:dyDescent="0.2">
      <c r="I645" s="82"/>
    </row>
    <row r="646" spans="9:9" ht="12.75" customHeight="1" x14ac:dyDescent="0.2">
      <c r="I646" s="82"/>
    </row>
    <row r="647" spans="9:9" ht="12.75" customHeight="1" x14ac:dyDescent="0.2">
      <c r="I647" s="82"/>
    </row>
    <row r="648" spans="9:9" ht="12.75" customHeight="1" x14ac:dyDescent="0.2">
      <c r="I648" s="82"/>
    </row>
    <row r="649" spans="9:9" ht="12.75" customHeight="1" x14ac:dyDescent="0.2">
      <c r="I649" s="82"/>
    </row>
    <row r="650" spans="9:9" ht="12.75" customHeight="1" x14ac:dyDescent="0.2">
      <c r="I650" s="82"/>
    </row>
    <row r="651" spans="9:9" ht="12.75" customHeight="1" x14ac:dyDescent="0.2">
      <c r="I651" s="82"/>
    </row>
    <row r="652" spans="9:9" ht="12.75" customHeight="1" x14ac:dyDescent="0.2">
      <c r="I652" s="82"/>
    </row>
    <row r="653" spans="9:9" ht="12.75" customHeight="1" x14ac:dyDescent="0.2">
      <c r="I653" s="82"/>
    </row>
    <row r="654" spans="9:9" ht="12.75" customHeight="1" x14ac:dyDescent="0.2">
      <c r="I654" s="82"/>
    </row>
    <row r="655" spans="9:9" ht="12.75" customHeight="1" x14ac:dyDescent="0.2">
      <c r="I655" s="82"/>
    </row>
    <row r="656" spans="9:9" ht="12.75" customHeight="1" x14ac:dyDescent="0.2">
      <c r="I656" s="82"/>
    </row>
    <row r="657" spans="9:9" ht="12.75" customHeight="1" x14ac:dyDescent="0.2">
      <c r="I657" s="82"/>
    </row>
    <row r="658" spans="9:9" ht="12.75" customHeight="1" x14ac:dyDescent="0.2">
      <c r="I658" s="82"/>
    </row>
    <row r="659" spans="9:9" ht="12.75" customHeight="1" x14ac:dyDescent="0.2">
      <c r="I659" s="82"/>
    </row>
    <row r="660" spans="9:9" ht="12.75" customHeight="1" x14ac:dyDescent="0.2">
      <c r="I660" s="82"/>
    </row>
    <row r="661" spans="9:9" ht="12.75" customHeight="1" x14ac:dyDescent="0.2">
      <c r="I661" s="82"/>
    </row>
    <row r="662" spans="9:9" ht="12.75" customHeight="1" x14ac:dyDescent="0.2">
      <c r="I662" s="82"/>
    </row>
    <row r="663" spans="9:9" ht="12.75" customHeight="1" x14ac:dyDescent="0.2">
      <c r="I663" s="82"/>
    </row>
    <row r="664" spans="9:9" ht="12.75" customHeight="1" x14ac:dyDescent="0.2">
      <c r="I664" s="82"/>
    </row>
    <row r="665" spans="9:9" ht="12.75" customHeight="1" x14ac:dyDescent="0.2">
      <c r="I665" s="82"/>
    </row>
    <row r="666" spans="9:9" ht="12.75" customHeight="1" x14ac:dyDescent="0.2">
      <c r="I666" s="82"/>
    </row>
    <row r="667" spans="9:9" ht="12.75" customHeight="1" x14ac:dyDescent="0.2">
      <c r="I667" s="82"/>
    </row>
    <row r="668" spans="9:9" ht="12.75" customHeight="1" x14ac:dyDescent="0.2">
      <c r="I668" s="82"/>
    </row>
    <row r="669" spans="9:9" ht="12.75" customHeight="1" x14ac:dyDescent="0.2">
      <c r="I669" s="82"/>
    </row>
    <row r="670" spans="9:9" ht="12.75" customHeight="1" x14ac:dyDescent="0.2">
      <c r="I670" s="82"/>
    </row>
    <row r="671" spans="9:9" ht="12.75" customHeight="1" x14ac:dyDescent="0.2">
      <c r="I671" s="82"/>
    </row>
    <row r="672" spans="9:9" ht="12.75" customHeight="1" x14ac:dyDescent="0.2">
      <c r="I672" s="82"/>
    </row>
    <row r="673" spans="9:9" ht="12.75" customHeight="1" x14ac:dyDescent="0.2">
      <c r="I673" s="82"/>
    </row>
    <row r="674" spans="9:9" ht="12.75" customHeight="1" x14ac:dyDescent="0.2">
      <c r="I674" s="82"/>
    </row>
    <row r="675" spans="9:9" ht="12.75" customHeight="1" x14ac:dyDescent="0.2">
      <c r="I675" s="82"/>
    </row>
    <row r="676" spans="9:9" ht="12.75" customHeight="1" x14ac:dyDescent="0.2">
      <c r="I676" s="82"/>
    </row>
    <row r="677" spans="9:9" ht="12.75" customHeight="1" x14ac:dyDescent="0.2">
      <c r="I677" s="82"/>
    </row>
    <row r="678" spans="9:9" ht="12.75" customHeight="1" x14ac:dyDescent="0.2">
      <c r="I678" s="82"/>
    </row>
    <row r="679" spans="9:9" ht="12.75" customHeight="1" x14ac:dyDescent="0.2">
      <c r="I679" s="82"/>
    </row>
    <row r="680" spans="9:9" ht="12.75" customHeight="1" x14ac:dyDescent="0.2">
      <c r="I680" s="82"/>
    </row>
    <row r="681" spans="9:9" ht="12.75" customHeight="1" x14ac:dyDescent="0.2">
      <c r="I681" s="82"/>
    </row>
    <row r="682" spans="9:9" ht="12.75" customHeight="1" x14ac:dyDescent="0.2">
      <c r="I682" s="82"/>
    </row>
    <row r="683" spans="9:9" ht="12.75" customHeight="1" x14ac:dyDescent="0.2">
      <c r="I683" s="82"/>
    </row>
    <row r="684" spans="9:9" ht="12.75" customHeight="1" x14ac:dyDescent="0.2">
      <c r="I684" s="82"/>
    </row>
    <row r="685" spans="9:9" ht="12.75" customHeight="1" x14ac:dyDescent="0.2">
      <c r="I685" s="82"/>
    </row>
    <row r="686" spans="9:9" ht="12.75" customHeight="1" x14ac:dyDescent="0.2">
      <c r="I686" s="82"/>
    </row>
    <row r="687" spans="9:9" ht="12.75" customHeight="1" x14ac:dyDescent="0.2">
      <c r="I687" s="82"/>
    </row>
    <row r="688" spans="9:9" ht="12.75" customHeight="1" x14ac:dyDescent="0.2">
      <c r="I688" s="82"/>
    </row>
    <row r="689" spans="9:9" ht="12.75" customHeight="1" x14ac:dyDescent="0.2">
      <c r="I689" s="82"/>
    </row>
    <row r="690" spans="9:9" ht="12.75" customHeight="1" x14ac:dyDescent="0.2">
      <c r="I690" s="82"/>
    </row>
    <row r="691" spans="9:9" ht="12.75" customHeight="1" x14ac:dyDescent="0.2">
      <c r="I691" s="82"/>
    </row>
    <row r="692" spans="9:9" ht="12.75" customHeight="1" x14ac:dyDescent="0.2">
      <c r="I692" s="82"/>
    </row>
    <row r="693" spans="9:9" ht="12.75" customHeight="1" x14ac:dyDescent="0.2">
      <c r="I693" s="82"/>
    </row>
    <row r="694" spans="9:9" ht="12.75" customHeight="1" x14ac:dyDescent="0.2">
      <c r="I694" s="82"/>
    </row>
    <row r="695" spans="9:9" ht="12.75" customHeight="1" x14ac:dyDescent="0.2">
      <c r="I695" s="82"/>
    </row>
    <row r="696" spans="9:9" ht="12.75" customHeight="1" x14ac:dyDescent="0.2">
      <c r="I696" s="82"/>
    </row>
    <row r="697" spans="9:9" ht="12.75" customHeight="1" x14ac:dyDescent="0.2">
      <c r="I697" s="82"/>
    </row>
    <row r="698" spans="9:9" ht="12.75" customHeight="1" x14ac:dyDescent="0.2">
      <c r="I698" s="82"/>
    </row>
    <row r="699" spans="9:9" ht="12.75" customHeight="1" x14ac:dyDescent="0.2">
      <c r="I699" s="82"/>
    </row>
    <row r="700" spans="9:9" ht="12.75" customHeight="1" x14ac:dyDescent="0.2">
      <c r="I700" s="82"/>
    </row>
    <row r="701" spans="9:9" ht="12.75" customHeight="1" x14ac:dyDescent="0.2">
      <c r="I701" s="82"/>
    </row>
    <row r="702" spans="9:9" ht="12.75" customHeight="1" x14ac:dyDescent="0.2">
      <c r="I702" s="82"/>
    </row>
    <row r="703" spans="9:9" ht="12.75" customHeight="1" x14ac:dyDescent="0.2">
      <c r="I703" s="82"/>
    </row>
    <row r="704" spans="9:9" ht="12.75" customHeight="1" x14ac:dyDescent="0.2">
      <c r="I704" s="82"/>
    </row>
    <row r="705" spans="9:9" ht="12.75" customHeight="1" x14ac:dyDescent="0.2">
      <c r="I705" s="82"/>
    </row>
    <row r="706" spans="9:9" ht="12.75" customHeight="1" x14ac:dyDescent="0.2">
      <c r="I706" s="82"/>
    </row>
    <row r="707" spans="9:9" ht="12.75" customHeight="1" x14ac:dyDescent="0.2">
      <c r="I707" s="82"/>
    </row>
    <row r="708" spans="9:9" ht="12.75" customHeight="1" x14ac:dyDescent="0.2">
      <c r="I708" s="82"/>
    </row>
    <row r="709" spans="9:9" ht="12.75" customHeight="1" x14ac:dyDescent="0.2">
      <c r="I709" s="82"/>
    </row>
    <row r="710" spans="9:9" ht="12.75" customHeight="1" x14ac:dyDescent="0.2">
      <c r="I710" s="82"/>
    </row>
    <row r="711" spans="9:9" ht="12.75" customHeight="1" x14ac:dyDescent="0.2">
      <c r="I711" s="82"/>
    </row>
    <row r="712" spans="9:9" ht="12.75" customHeight="1" x14ac:dyDescent="0.2">
      <c r="I712" s="82"/>
    </row>
    <row r="713" spans="9:9" ht="12.75" customHeight="1" x14ac:dyDescent="0.2">
      <c r="I713" s="82"/>
    </row>
    <row r="714" spans="9:9" ht="12.75" customHeight="1" x14ac:dyDescent="0.2">
      <c r="I714" s="82"/>
    </row>
    <row r="715" spans="9:9" ht="12.75" customHeight="1" x14ac:dyDescent="0.2">
      <c r="I715" s="82"/>
    </row>
    <row r="716" spans="9:9" ht="12.75" customHeight="1" x14ac:dyDescent="0.2">
      <c r="I716" s="82"/>
    </row>
    <row r="717" spans="9:9" ht="12.75" customHeight="1" x14ac:dyDescent="0.2">
      <c r="I717" s="82"/>
    </row>
    <row r="718" spans="9:9" ht="12.75" customHeight="1" x14ac:dyDescent="0.2">
      <c r="I718" s="82"/>
    </row>
    <row r="719" spans="9:9" ht="12.75" customHeight="1" x14ac:dyDescent="0.2">
      <c r="I719" s="82"/>
    </row>
    <row r="720" spans="9:9" ht="12.75" customHeight="1" x14ac:dyDescent="0.2">
      <c r="I720" s="82"/>
    </row>
    <row r="721" spans="9:9" ht="12.75" customHeight="1" x14ac:dyDescent="0.2">
      <c r="I721" s="82"/>
    </row>
    <row r="722" spans="9:9" ht="12.75" customHeight="1" x14ac:dyDescent="0.2">
      <c r="I722" s="82"/>
    </row>
    <row r="723" spans="9:9" ht="12.75" customHeight="1" x14ac:dyDescent="0.2">
      <c r="I723" s="82"/>
    </row>
    <row r="724" spans="9:9" ht="12.75" customHeight="1" x14ac:dyDescent="0.2">
      <c r="I724" s="82"/>
    </row>
    <row r="725" spans="9:9" ht="12.75" customHeight="1" x14ac:dyDescent="0.2">
      <c r="I725" s="82"/>
    </row>
    <row r="726" spans="9:9" ht="12.75" customHeight="1" x14ac:dyDescent="0.2">
      <c r="I726" s="82"/>
    </row>
    <row r="727" spans="9:9" ht="12.75" customHeight="1" x14ac:dyDescent="0.2">
      <c r="I727" s="82"/>
    </row>
    <row r="728" spans="9:9" ht="12.75" customHeight="1" x14ac:dyDescent="0.2">
      <c r="I728" s="82"/>
    </row>
    <row r="729" spans="9:9" ht="12.75" customHeight="1" x14ac:dyDescent="0.2">
      <c r="I729" s="82"/>
    </row>
    <row r="730" spans="9:9" ht="12.75" customHeight="1" x14ac:dyDescent="0.2">
      <c r="I730" s="82"/>
    </row>
    <row r="731" spans="9:9" ht="12.75" customHeight="1" x14ac:dyDescent="0.2">
      <c r="I731" s="82"/>
    </row>
    <row r="732" spans="9:9" ht="12.75" customHeight="1" x14ac:dyDescent="0.2">
      <c r="I732" s="82"/>
    </row>
    <row r="733" spans="9:9" ht="12.75" customHeight="1" x14ac:dyDescent="0.2">
      <c r="I733" s="82"/>
    </row>
    <row r="734" spans="9:9" ht="12.75" customHeight="1" x14ac:dyDescent="0.2">
      <c r="I734" s="82"/>
    </row>
    <row r="735" spans="9:9" ht="12.75" customHeight="1" x14ac:dyDescent="0.2">
      <c r="I735" s="82"/>
    </row>
    <row r="736" spans="9:9" ht="12.75" customHeight="1" x14ac:dyDescent="0.2">
      <c r="I736" s="82"/>
    </row>
    <row r="737" spans="9:9" ht="12.75" customHeight="1" x14ac:dyDescent="0.2">
      <c r="I737" s="82"/>
    </row>
    <row r="738" spans="9:9" ht="12.75" customHeight="1" x14ac:dyDescent="0.2">
      <c r="I738" s="82"/>
    </row>
    <row r="739" spans="9:9" ht="12.75" customHeight="1" x14ac:dyDescent="0.2">
      <c r="I739" s="82"/>
    </row>
    <row r="740" spans="9:9" ht="12.75" customHeight="1" x14ac:dyDescent="0.2">
      <c r="I740" s="82"/>
    </row>
    <row r="741" spans="9:9" ht="12.75" customHeight="1" x14ac:dyDescent="0.2">
      <c r="I741" s="82"/>
    </row>
    <row r="742" spans="9:9" ht="12.75" customHeight="1" x14ac:dyDescent="0.2">
      <c r="I742" s="82"/>
    </row>
    <row r="743" spans="9:9" ht="12.75" customHeight="1" x14ac:dyDescent="0.2">
      <c r="I743" s="82"/>
    </row>
    <row r="744" spans="9:9" ht="12.75" customHeight="1" x14ac:dyDescent="0.2">
      <c r="I744" s="82"/>
    </row>
    <row r="745" spans="9:9" ht="12.75" customHeight="1" x14ac:dyDescent="0.2">
      <c r="I745" s="82"/>
    </row>
    <row r="746" spans="9:9" ht="12.75" customHeight="1" x14ac:dyDescent="0.2">
      <c r="I746" s="82"/>
    </row>
    <row r="747" spans="9:9" ht="12.75" customHeight="1" x14ac:dyDescent="0.2">
      <c r="I747" s="82"/>
    </row>
    <row r="748" spans="9:9" ht="12.75" customHeight="1" x14ac:dyDescent="0.2">
      <c r="I748" s="82"/>
    </row>
    <row r="749" spans="9:9" ht="12.75" customHeight="1" x14ac:dyDescent="0.2">
      <c r="I749" s="82"/>
    </row>
    <row r="750" spans="9:9" ht="12.75" customHeight="1" x14ac:dyDescent="0.2">
      <c r="I750" s="82"/>
    </row>
    <row r="751" spans="9:9" ht="12.75" customHeight="1" x14ac:dyDescent="0.2">
      <c r="I751" s="82"/>
    </row>
    <row r="752" spans="9:9" ht="12.75" customHeight="1" x14ac:dyDescent="0.2">
      <c r="I752" s="82"/>
    </row>
    <row r="753" spans="9:9" ht="12.75" customHeight="1" x14ac:dyDescent="0.2">
      <c r="I753" s="82"/>
    </row>
    <row r="754" spans="9:9" ht="12.75" customHeight="1" x14ac:dyDescent="0.2">
      <c r="I754" s="82"/>
    </row>
    <row r="755" spans="9:9" ht="12.75" customHeight="1" x14ac:dyDescent="0.2">
      <c r="I755" s="82"/>
    </row>
    <row r="756" spans="9:9" ht="12.75" customHeight="1" x14ac:dyDescent="0.2">
      <c r="I756" s="82"/>
    </row>
    <row r="757" spans="9:9" ht="12.75" customHeight="1" x14ac:dyDescent="0.2">
      <c r="I757" s="82"/>
    </row>
    <row r="758" spans="9:9" ht="12.75" customHeight="1" x14ac:dyDescent="0.2">
      <c r="I758" s="82"/>
    </row>
    <row r="759" spans="9:9" ht="12.75" customHeight="1" x14ac:dyDescent="0.2">
      <c r="I759" s="82"/>
    </row>
    <row r="760" spans="9:9" ht="12.75" customHeight="1" x14ac:dyDescent="0.2">
      <c r="I760" s="82"/>
    </row>
    <row r="761" spans="9:9" ht="12.75" customHeight="1" x14ac:dyDescent="0.2">
      <c r="I761" s="82"/>
    </row>
    <row r="762" spans="9:9" ht="12.75" customHeight="1" x14ac:dyDescent="0.2">
      <c r="I762" s="82"/>
    </row>
    <row r="763" spans="9:9" ht="12.75" customHeight="1" x14ac:dyDescent="0.2">
      <c r="I763" s="82"/>
    </row>
    <row r="764" spans="9:9" ht="12.75" customHeight="1" x14ac:dyDescent="0.2">
      <c r="I764" s="82"/>
    </row>
    <row r="765" spans="9:9" ht="12.75" customHeight="1" x14ac:dyDescent="0.2">
      <c r="I765" s="82"/>
    </row>
    <row r="766" spans="9:9" ht="12.75" customHeight="1" x14ac:dyDescent="0.2">
      <c r="I766" s="82"/>
    </row>
    <row r="767" spans="9:9" ht="12.75" customHeight="1" x14ac:dyDescent="0.2">
      <c r="I767" s="82"/>
    </row>
    <row r="768" spans="9:9" ht="12.75" customHeight="1" x14ac:dyDescent="0.2">
      <c r="I768" s="82"/>
    </row>
    <row r="769" spans="9:9" ht="12.75" customHeight="1" x14ac:dyDescent="0.2">
      <c r="I769" s="82"/>
    </row>
    <row r="770" spans="9:9" ht="12.75" customHeight="1" x14ac:dyDescent="0.2">
      <c r="I770" s="82"/>
    </row>
    <row r="771" spans="9:9" ht="12.75" customHeight="1" x14ac:dyDescent="0.2">
      <c r="I771" s="82"/>
    </row>
    <row r="772" spans="9:9" ht="12.75" customHeight="1" x14ac:dyDescent="0.2">
      <c r="I772" s="82"/>
    </row>
    <row r="773" spans="9:9" ht="12.75" customHeight="1" x14ac:dyDescent="0.2">
      <c r="I773" s="82"/>
    </row>
    <row r="774" spans="9:9" ht="12.75" customHeight="1" x14ac:dyDescent="0.2">
      <c r="I774" s="82"/>
    </row>
    <row r="775" spans="9:9" ht="12.75" customHeight="1" x14ac:dyDescent="0.2">
      <c r="I775" s="82"/>
    </row>
    <row r="776" spans="9:9" ht="12.75" customHeight="1" x14ac:dyDescent="0.2">
      <c r="I776" s="82"/>
    </row>
    <row r="777" spans="9:9" ht="12.75" customHeight="1" x14ac:dyDescent="0.2">
      <c r="I777" s="82"/>
    </row>
    <row r="778" spans="9:9" ht="12.75" customHeight="1" x14ac:dyDescent="0.2">
      <c r="I778" s="82"/>
    </row>
    <row r="779" spans="9:9" ht="12.75" customHeight="1" x14ac:dyDescent="0.2">
      <c r="I779" s="82"/>
    </row>
    <row r="780" spans="9:9" ht="12.75" customHeight="1" x14ac:dyDescent="0.2">
      <c r="I780" s="82"/>
    </row>
    <row r="781" spans="9:9" ht="12.75" customHeight="1" x14ac:dyDescent="0.2">
      <c r="I781" s="82"/>
    </row>
    <row r="782" spans="9:9" ht="12.75" customHeight="1" x14ac:dyDescent="0.2">
      <c r="I782" s="82"/>
    </row>
    <row r="783" spans="9:9" ht="12.75" customHeight="1" x14ac:dyDescent="0.2">
      <c r="I783" s="82"/>
    </row>
    <row r="784" spans="9:9" ht="12.75" customHeight="1" x14ac:dyDescent="0.2">
      <c r="I784" s="82"/>
    </row>
    <row r="785" spans="9:9" ht="12.75" customHeight="1" x14ac:dyDescent="0.2">
      <c r="I785" s="82"/>
    </row>
    <row r="786" spans="9:9" ht="12.75" customHeight="1" x14ac:dyDescent="0.2">
      <c r="I786" s="82"/>
    </row>
    <row r="787" spans="9:9" ht="12.75" customHeight="1" x14ac:dyDescent="0.2">
      <c r="I787" s="82"/>
    </row>
    <row r="788" spans="9:9" ht="12.75" customHeight="1" x14ac:dyDescent="0.2">
      <c r="I788" s="82"/>
    </row>
    <row r="789" spans="9:9" ht="12.75" customHeight="1" x14ac:dyDescent="0.2">
      <c r="I789" s="82"/>
    </row>
    <row r="790" spans="9:9" ht="12.75" customHeight="1" x14ac:dyDescent="0.2">
      <c r="I790" s="82"/>
    </row>
    <row r="791" spans="9:9" ht="12.75" customHeight="1" x14ac:dyDescent="0.2">
      <c r="I791" s="82"/>
    </row>
    <row r="792" spans="9:9" ht="12.75" customHeight="1" x14ac:dyDescent="0.2">
      <c r="I792" s="82"/>
    </row>
    <row r="793" spans="9:9" ht="12.75" customHeight="1" x14ac:dyDescent="0.2">
      <c r="I793" s="82"/>
    </row>
    <row r="794" spans="9:9" ht="12.75" customHeight="1" x14ac:dyDescent="0.2">
      <c r="I794" s="82"/>
    </row>
    <row r="795" spans="9:9" ht="12.75" customHeight="1" x14ac:dyDescent="0.2">
      <c r="I795" s="82"/>
    </row>
    <row r="796" spans="9:9" ht="12.75" customHeight="1" x14ac:dyDescent="0.2">
      <c r="I796" s="82"/>
    </row>
    <row r="797" spans="9:9" ht="12.75" customHeight="1" x14ac:dyDescent="0.2">
      <c r="I797" s="82"/>
    </row>
    <row r="798" spans="9:9" ht="12.75" customHeight="1" x14ac:dyDescent="0.2">
      <c r="I798" s="82"/>
    </row>
    <row r="799" spans="9:9" ht="12.75" customHeight="1" x14ac:dyDescent="0.2">
      <c r="I799" s="82"/>
    </row>
    <row r="800" spans="9:9" ht="12.75" customHeight="1" x14ac:dyDescent="0.2">
      <c r="I800" s="82"/>
    </row>
    <row r="801" spans="9:9" ht="12.75" customHeight="1" x14ac:dyDescent="0.2">
      <c r="I801" s="82"/>
    </row>
    <row r="802" spans="9:9" ht="12.75" customHeight="1" x14ac:dyDescent="0.2">
      <c r="I802" s="82"/>
    </row>
    <row r="803" spans="9:9" ht="12.75" customHeight="1" x14ac:dyDescent="0.2">
      <c r="I803" s="82"/>
    </row>
    <row r="804" spans="9:9" ht="12.75" customHeight="1" x14ac:dyDescent="0.2">
      <c r="I804" s="82"/>
    </row>
    <row r="805" spans="9:9" ht="12.75" customHeight="1" x14ac:dyDescent="0.2">
      <c r="I805" s="82"/>
    </row>
    <row r="806" spans="9:9" ht="12.75" customHeight="1" x14ac:dyDescent="0.2">
      <c r="I806" s="82"/>
    </row>
    <row r="807" spans="9:9" ht="12.75" customHeight="1" x14ac:dyDescent="0.2">
      <c r="I807" s="82"/>
    </row>
    <row r="808" spans="9:9" ht="12.75" customHeight="1" x14ac:dyDescent="0.2">
      <c r="I808" s="82"/>
    </row>
    <row r="809" spans="9:9" ht="12.75" customHeight="1" x14ac:dyDescent="0.2">
      <c r="I809" s="82"/>
    </row>
    <row r="810" spans="9:9" ht="12.75" customHeight="1" x14ac:dyDescent="0.2">
      <c r="I810" s="82"/>
    </row>
    <row r="811" spans="9:9" ht="12.75" customHeight="1" x14ac:dyDescent="0.2">
      <c r="I811" s="82"/>
    </row>
    <row r="812" spans="9:9" ht="12.75" customHeight="1" x14ac:dyDescent="0.2">
      <c r="I812" s="82"/>
    </row>
    <row r="813" spans="9:9" ht="12.75" customHeight="1" x14ac:dyDescent="0.2">
      <c r="I813" s="82"/>
    </row>
    <row r="814" spans="9:9" ht="12.75" customHeight="1" x14ac:dyDescent="0.2">
      <c r="I814" s="82"/>
    </row>
    <row r="815" spans="9:9" ht="12.75" customHeight="1" x14ac:dyDescent="0.2">
      <c r="I815" s="82"/>
    </row>
    <row r="816" spans="9:9" ht="12.75" customHeight="1" x14ac:dyDescent="0.2">
      <c r="I816" s="82"/>
    </row>
    <row r="817" spans="9:9" ht="12.75" customHeight="1" x14ac:dyDescent="0.2">
      <c r="I817" s="82"/>
    </row>
    <row r="818" spans="9:9" ht="12.75" customHeight="1" x14ac:dyDescent="0.2">
      <c r="I818" s="82"/>
    </row>
    <row r="819" spans="9:9" ht="12.75" customHeight="1" x14ac:dyDescent="0.2">
      <c r="I819" s="82"/>
    </row>
    <row r="820" spans="9:9" ht="12.75" customHeight="1" x14ac:dyDescent="0.2">
      <c r="I820" s="82"/>
    </row>
    <row r="821" spans="9:9" ht="12.75" customHeight="1" x14ac:dyDescent="0.2">
      <c r="I821" s="82"/>
    </row>
    <row r="822" spans="9:9" ht="12.75" customHeight="1" x14ac:dyDescent="0.2">
      <c r="I822" s="82"/>
    </row>
    <row r="823" spans="9:9" ht="12.75" customHeight="1" x14ac:dyDescent="0.2">
      <c r="I823" s="82"/>
    </row>
    <row r="824" spans="9:9" ht="12.75" customHeight="1" x14ac:dyDescent="0.2">
      <c r="I824" s="82"/>
    </row>
    <row r="825" spans="9:9" ht="12.75" customHeight="1" x14ac:dyDescent="0.2">
      <c r="I825" s="82"/>
    </row>
    <row r="826" spans="9:9" ht="12.75" customHeight="1" x14ac:dyDescent="0.2">
      <c r="I826" s="82"/>
    </row>
    <row r="827" spans="9:9" ht="12.75" customHeight="1" x14ac:dyDescent="0.2">
      <c r="I827" s="82"/>
    </row>
    <row r="828" spans="9:9" ht="12.75" customHeight="1" x14ac:dyDescent="0.2">
      <c r="I828" s="82"/>
    </row>
    <row r="829" spans="9:9" ht="12.75" customHeight="1" x14ac:dyDescent="0.2">
      <c r="I829" s="82"/>
    </row>
    <row r="830" spans="9:9" ht="12.75" customHeight="1" x14ac:dyDescent="0.2">
      <c r="I830" s="82"/>
    </row>
    <row r="831" spans="9:9" ht="12.75" customHeight="1" x14ac:dyDescent="0.2">
      <c r="I831" s="82"/>
    </row>
    <row r="832" spans="9:9" ht="12.75" customHeight="1" x14ac:dyDescent="0.2">
      <c r="I832" s="82"/>
    </row>
    <row r="833" spans="9:9" ht="12.75" customHeight="1" x14ac:dyDescent="0.2">
      <c r="I833" s="82"/>
    </row>
    <row r="834" spans="9:9" ht="12.75" customHeight="1" x14ac:dyDescent="0.2">
      <c r="I834" s="82"/>
    </row>
    <row r="835" spans="9:9" ht="12.75" customHeight="1" x14ac:dyDescent="0.2">
      <c r="I835" s="82"/>
    </row>
    <row r="836" spans="9:9" ht="12.75" customHeight="1" x14ac:dyDescent="0.2">
      <c r="I836" s="82"/>
    </row>
    <row r="837" spans="9:9" ht="12.75" customHeight="1" x14ac:dyDescent="0.2">
      <c r="I837" s="82"/>
    </row>
    <row r="838" spans="9:9" ht="12.75" customHeight="1" x14ac:dyDescent="0.2">
      <c r="I838" s="82"/>
    </row>
    <row r="839" spans="9:9" ht="12.75" customHeight="1" x14ac:dyDescent="0.2">
      <c r="I839" s="82"/>
    </row>
    <row r="840" spans="9:9" ht="12.75" customHeight="1" x14ac:dyDescent="0.2">
      <c r="I840" s="82"/>
    </row>
    <row r="841" spans="9:9" ht="12.75" customHeight="1" x14ac:dyDescent="0.2">
      <c r="I841" s="82"/>
    </row>
    <row r="842" spans="9:9" ht="12.75" customHeight="1" x14ac:dyDescent="0.2">
      <c r="I842" s="82"/>
    </row>
    <row r="843" spans="9:9" ht="12.75" customHeight="1" x14ac:dyDescent="0.2">
      <c r="I843" s="82"/>
    </row>
    <row r="844" spans="9:9" ht="12.75" customHeight="1" x14ac:dyDescent="0.2">
      <c r="I844" s="82"/>
    </row>
    <row r="845" spans="9:9" ht="12.75" customHeight="1" x14ac:dyDescent="0.2">
      <c r="I845" s="82"/>
    </row>
    <row r="846" spans="9:9" ht="12.75" customHeight="1" x14ac:dyDescent="0.2">
      <c r="I846" s="82"/>
    </row>
    <row r="847" spans="9:9" ht="12.75" customHeight="1" x14ac:dyDescent="0.2">
      <c r="I847" s="82"/>
    </row>
    <row r="848" spans="9:9" ht="12.75" customHeight="1" x14ac:dyDescent="0.2">
      <c r="I848" s="82"/>
    </row>
    <row r="849" spans="9:9" ht="12.75" customHeight="1" x14ac:dyDescent="0.2">
      <c r="I849" s="82"/>
    </row>
    <row r="850" spans="9:9" ht="12.75" customHeight="1" x14ac:dyDescent="0.2">
      <c r="I850" s="82"/>
    </row>
    <row r="851" spans="9:9" ht="12.75" customHeight="1" x14ac:dyDescent="0.2">
      <c r="I851" s="82"/>
    </row>
    <row r="852" spans="9:9" ht="12.75" customHeight="1" x14ac:dyDescent="0.2">
      <c r="I852" s="82"/>
    </row>
    <row r="853" spans="9:9" ht="12.75" customHeight="1" x14ac:dyDescent="0.2">
      <c r="I853" s="82"/>
    </row>
    <row r="854" spans="9:9" ht="12.75" customHeight="1" x14ac:dyDescent="0.2">
      <c r="I854" s="82"/>
    </row>
    <row r="855" spans="9:9" ht="12.75" customHeight="1" x14ac:dyDescent="0.2">
      <c r="I855" s="82"/>
    </row>
    <row r="856" spans="9:9" ht="12.75" customHeight="1" x14ac:dyDescent="0.2">
      <c r="I856" s="82"/>
    </row>
    <row r="857" spans="9:9" ht="12.75" customHeight="1" x14ac:dyDescent="0.2">
      <c r="I857" s="82"/>
    </row>
    <row r="858" spans="9:9" ht="12.75" customHeight="1" x14ac:dyDescent="0.2">
      <c r="I858" s="82"/>
    </row>
    <row r="859" spans="9:9" ht="12.75" customHeight="1" x14ac:dyDescent="0.2">
      <c r="I859" s="82"/>
    </row>
    <row r="860" spans="9:9" ht="12.75" customHeight="1" x14ac:dyDescent="0.2">
      <c r="I860" s="82"/>
    </row>
    <row r="861" spans="9:9" ht="12.75" customHeight="1" x14ac:dyDescent="0.2">
      <c r="I861" s="82"/>
    </row>
    <row r="862" spans="9:9" ht="12.75" customHeight="1" x14ac:dyDescent="0.2">
      <c r="I862" s="82"/>
    </row>
    <row r="863" spans="9:9" ht="12.75" customHeight="1" x14ac:dyDescent="0.2">
      <c r="I863" s="82"/>
    </row>
    <row r="864" spans="9:9" ht="12.75" customHeight="1" x14ac:dyDescent="0.2">
      <c r="I864" s="82"/>
    </row>
    <row r="865" spans="9:9" ht="12.75" customHeight="1" x14ac:dyDescent="0.2">
      <c r="I865" s="82"/>
    </row>
    <row r="866" spans="9:9" ht="12.75" customHeight="1" x14ac:dyDescent="0.2">
      <c r="I866" s="82"/>
    </row>
    <row r="867" spans="9:9" ht="12.75" customHeight="1" x14ac:dyDescent="0.2">
      <c r="I867" s="82"/>
    </row>
    <row r="868" spans="9:9" ht="12.75" customHeight="1" x14ac:dyDescent="0.2">
      <c r="I868" s="82"/>
    </row>
    <row r="869" spans="9:9" ht="12.75" customHeight="1" x14ac:dyDescent="0.2">
      <c r="I869" s="82"/>
    </row>
    <row r="870" spans="9:9" ht="12.75" customHeight="1" x14ac:dyDescent="0.2">
      <c r="I870" s="82"/>
    </row>
    <row r="871" spans="9:9" ht="12.75" customHeight="1" x14ac:dyDescent="0.2">
      <c r="I871" s="82"/>
    </row>
    <row r="872" spans="9:9" ht="12.75" customHeight="1" x14ac:dyDescent="0.2">
      <c r="I872" s="82"/>
    </row>
    <row r="873" spans="9:9" ht="12.75" customHeight="1" x14ac:dyDescent="0.2">
      <c r="I873" s="82"/>
    </row>
    <row r="874" spans="9:9" ht="12.75" customHeight="1" x14ac:dyDescent="0.2">
      <c r="I874" s="82"/>
    </row>
    <row r="875" spans="9:9" ht="12.75" customHeight="1" x14ac:dyDescent="0.2">
      <c r="I875" s="82"/>
    </row>
    <row r="876" spans="9:9" ht="12.75" customHeight="1" x14ac:dyDescent="0.2">
      <c r="I876" s="82"/>
    </row>
    <row r="877" spans="9:9" ht="12.75" customHeight="1" x14ac:dyDescent="0.2">
      <c r="I877" s="82"/>
    </row>
    <row r="878" spans="9:9" ht="12.75" customHeight="1" x14ac:dyDescent="0.2">
      <c r="I878" s="82"/>
    </row>
    <row r="879" spans="9:9" ht="12.75" customHeight="1" x14ac:dyDescent="0.2">
      <c r="I879" s="82"/>
    </row>
    <row r="880" spans="9:9" ht="12.75" customHeight="1" x14ac:dyDescent="0.2">
      <c r="I880" s="82"/>
    </row>
    <row r="881" spans="9:9" ht="12.75" customHeight="1" x14ac:dyDescent="0.2">
      <c r="I881" s="82"/>
    </row>
    <row r="882" spans="9:9" ht="12.75" customHeight="1" x14ac:dyDescent="0.2">
      <c r="I882" s="82"/>
    </row>
    <row r="883" spans="9:9" ht="12.75" customHeight="1" x14ac:dyDescent="0.2">
      <c r="I883" s="82"/>
    </row>
    <row r="884" spans="9:9" ht="12.75" customHeight="1" x14ac:dyDescent="0.2">
      <c r="I884" s="82"/>
    </row>
    <row r="885" spans="9:9" ht="12.75" customHeight="1" x14ac:dyDescent="0.2">
      <c r="I885" s="82"/>
    </row>
    <row r="886" spans="9:9" ht="12.75" customHeight="1" x14ac:dyDescent="0.2">
      <c r="I886" s="82"/>
    </row>
    <row r="887" spans="9:9" ht="12.75" customHeight="1" x14ac:dyDescent="0.2">
      <c r="I887" s="82"/>
    </row>
    <row r="888" spans="9:9" ht="12.75" customHeight="1" x14ac:dyDescent="0.2">
      <c r="I888" s="82"/>
    </row>
    <row r="889" spans="9:9" ht="12.75" customHeight="1" x14ac:dyDescent="0.2">
      <c r="I889" s="82"/>
    </row>
    <row r="890" spans="9:9" ht="12.75" customHeight="1" x14ac:dyDescent="0.2">
      <c r="I890" s="82"/>
    </row>
    <row r="891" spans="9:9" ht="12.75" customHeight="1" x14ac:dyDescent="0.2">
      <c r="I891" s="82"/>
    </row>
    <row r="892" spans="9:9" ht="12.75" customHeight="1" x14ac:dyDescent="0.2">
      <c r="I892" s="82"/>
    </row>
    <row r="893" spans="9:9" ht="12.75" customHeight="1" x14ac:dyDescent="0.2">
      <c r="I893" s="82"/>
    </row>
    <row r="894" spans="9:9" ht="12.75" customHeight="1" x14ac:dyDescent="0.2">
      <c r="I894" s="82"/>
    </row>
    <row r="895" spans="9:9" ht="12.75" customHeight="1" x14ac:dyDescent="0.2">
      <c r="I895" s="82"/>
    </row>
    <row r="896" spans="9:9" ht="12.75" customHeight="1" x14ac:dyDescent="0.2">
      <c r="I896" s="82"/>
    </row>
    <row r="897" spans="9:9" ht="12.75" customHeight="1" x14ac:dyDescent="0.2">
      <c r="I897" s="82"/>
    </row>
    <row r="898" spans="9:9" ht="12.75" customHeight="1" x14ac:dyDescent="0.2">
      <c r="I898" s="82"/>
    </row>
    <row r="899" spans="9:9" ht="12.75" customHeight="1" x14ac:dyDescent="0.2">
      <c r="I899" s="82"/>
    </row>
    <row r="900" spans="9:9" ht="12.75" customHeight="1" x14ac:dyDescent="0.2">
      <c r="I900" s="82"/>
    </row>
    <row r="901" spans="9:9" ht="12.75" customHeight="1" x14ac:dyDescent="0.2">
      <c r="I901" s="82"/>
    </row>
    <row r="902" spans="9:9" ht="12.75" customHeight="1" x14ac:dyDescent="0.2">
      <c r="I902" s="82"/>
    </row>
    <row r="903" spans="9:9" ht="12.75" customHeight="1" x14ac:dyDescent="0.2">
      <c r="I903" s="82"/>
    </row>
    <row r="904" spans="9:9" ht="12.75" customHeight="1" x14ac:dyDescent="0.2">
      <c r="I904" s="82"/>
    </row>
    <row r="905" spans="9:9" ht="12.75" customHeight="1" x14ac:dyDescent="0.2">
      <c r="I905" s="82"/>
    </row>
    <row r="906" spans="9:9" ht="12.75" customHeight="1" x14ac:dyDescent="0.2">
      <c r="I906" s="82"/>
    </row>
    <row r="907" spans="9:9" ht="12.75" customHeight="1" x14ac:dyDescent="0.2">
      <c r="I907" s="82"/>
    </row>
    <row r="908" spans="9:9" ht="12.75" customHeight="1" x14ac:dyDescent="0.2">
      <c r="I908" s="82"/>
    </row>
    <row r="909" spans="9:9" ht="12.75" customHeight="1" x14ac:dyDescent="0.2">
      <c r="I909" s="82"/>
    </row>
    <row r="910" spans="9:9" ht="12.75" customHeight="1" x14ac:dyDescent="0.2">
      <c r="I910" s="82"/>
    </row>
    <row r="911" spans="9:9" ht="12.75" customHeight="1" x14ac:dyDescent="0.2">
      <c r="I911" s="82"/>
    </row>
    <row r="912" spans="9:9" ht="12.75" customHeight="1" x14ac:dyDescent="0.2">
      <c r="I912" s="82"/>
    </row>
    <row r="913" spans="9:9" ht="12.75" customHeight="1" x14ac:dyDescent="0.2">
      <c r="I913" s="82"/>
    </row>
    <row r="914" spans="9:9" ht="12.75" customHeight="1" x14ac:dyDescent="0.2">
      <c r="I914" s="82"/>
    </row>
    <row r="915" spans="9:9" ht="12.75" customHeight="1" x14ac:dyDescent="0.2">
      <c r="I915" s="82"/>
    </row>
    <row r="916" spans="9:9" ht="12.75" customHeight="1" x14ac:dyDescent="0.2">
      <c r="I916" s="82"/>
    </row>
    <row r="917" spans="9:9" ht="12.75" customHeight="1" x14ac:dyDescent="0.2">
      <c r="I917" s="82"/>
    </row>
    <row r="918" spans="9:9" ht="12.75" customHeight="1" x14ac:dyDescent="0.2">
      <c r="I918" s="82"/>
    </row>
    <row r="919" spans="9:9" ht="12.75" customHeight="1" x14ac:dyDescent="0.2">
      <c r="I919" s="82"/>
    </row>
    <row r="920" spans="9:9" ht="12.75" customHeight="1" x14ac:dyDescent="0.2">
      <c r="I920" s="82"/>
    </row>
    <row r="921" spans="9:9" ht="12.75" customHeight="1" x14ac:dyDescent="0.2">
      <c r="I921" s="82"/>
    </row>
    <row r="922" spans="9:9" ht="12.75" customHeight="1" x14ac:dyDescent="0.2">
      <c r="I922" s="82"/>
    </row>
    <row r="923" spans="9:9" ht="12.75" customHeight="1" x14ac:dyDescent="0.2">
      <c r="I923" s="82"/>
    </row>
    <row r="924" spans="9:9" ht="12.75" customHeight="1" x14ac:dyDescent="0.2">
      <c r="I924" s="82"/>
    </row>
    <row r="925" spans="9:9" ht="12.75" customHeight="1" x14ac:dyDescent="0.2">
      <c r="I925" s="82"/>
    </row>
    <row r="926" spans="9:9" ht="12.75" customHeight="1" x14ac:dyDescent="0.2">
      <c r="I926" s="82"/>
    </row>
    <row r="927" spans="9:9" ht="12.75" customHeight="1" x14ac:dyDescent="0.2">
      <c r="I927" s="82"/>
    </row>
    <row r="928" spans="9:9" ht="12.75" customHeight="1" x14ac:dyDescent="0.2">
      <c r="I928" s="82"/>
    </row>
    <row r="929" spans="9:9" ht="12.75" customHeight="1" x14ac:dyDescent="0.2">
      <c r="I929" s="82"/>
    </row>
    <row r="930" spans="9:9" ht="12.75" customHeight="1" x14ac:dyDescent="0.2">
      <c r="I930" s="82"/>
    </row>
    <row r="931" spans="9:9" ht="12.75" customHeight="1" x14ac:dyDescent="0.2">
      <c r="I931" s="82"/>
    </row>
    <row r="932" spans="9:9" ht="12.75" customHeight="1" x14ac:dyDescent="0.2">
      <c r="I932" s="82"/>
    </row>
    <row r="933" spans="9:9" ht="12.75" customHeight="1" x14ac:dyDescent="0.2">
      <c r="I933" s="82"/>
    </row>
    <row r="934" spans="9:9" ht="12.75" customHeight="1" x14ac:dyDescent="0.2">
      <c r="I934" s="82"/>
    </row>
    <row r="935" spans="9:9" ht="12.75" customHeight="1" x14ac:dyDescent="0.2">
      <c r="I935" s="82"/>
    </row>
    <row r="936" spans="9:9" ht="12.75" customHeight="1" x14ac:dyDescent="0.2">
      <c r="I936" s="82"/>
    </row>
    <row r="937" spans="9:9" ht="12.75" customHeight="1" x14ac:dyDescent="0.2">
      <c r="I937" s="82"/>
    </row>
    <row r="938" spans="9:9" ht="12.75" customHeight="1" x14ac:dyDescent="0.2">
      <c r="I938" s="82"/>
    </row>
    <row r="939" spans="9:9" ht="12.75" customHeight="1" x14ac:dyDescent="0.2">
      <c r="I939" s="82"/>
    </row>
    <row r="940" spans="9:9" ht="12.75" customHeight="1" x14ac:dyDescent="0.2">
      <c r="I940" s="82"/>
    </row>
    <row r="941" spans="9:9" ht="12.75" customHeight="1" x14ac:dyDescent="0.2">
      <c r="I941" s="82"/>
    </row>
    <row r="942" spans="9:9" ht="12.75" customHeight="1" x14ac:dyDescent="0.2">
      <c r="I942" s="82"/>
    </row>
    <row r="943" spans="9:9" ht="12.75" customHeight="1" x14ac:dyDescent="0.2">
      <c r="I943" s="82"/>
    </row>
    <row r="944" spans="9:9" ht="12.75" customHeight="1" x14ac:dyDescent="0.2">
      <c r="I944" s="82"/>
    </row>
    <row r="945" spans="9:9" ht="12.75" customHeight="1" x14ac:dyDescent="0.2">
      <c r="I945" s="82"/>
    </row>
    <row r="946" spans="9:9" ht="12.75" customHeight="1" x14ac:dyDescent="0.2">
      <c r="I946" s="82"/>
    </row>
    <row r="947" spans="9:9" ht="12.75" customHeight="1" x14ac:dyDescent="0.2">
      <c r="I947" s="82"/>
    </row>
    <row r="948" spans="9:9" ht="12.75" customHeight="1" x14ac:dyDescent="0.2">
      <c r="I948" s="82"/>
    </row>
    <row r="949" spans="9:9" ht="12.75" customHeight="1" x14ac:dyDescent="0.2">
      <c r="I949" s="82"/>
    </row>
    <row r="950" spans="9:9" ht="12.75" customHeight="1" x14ac:dyDescent="0.2">
      <c r="I950" s="82"/>
    </row>
    <row r="951" spans="9:9" ht="12.75" customHeight="1" x14ac:dyDescent="0.2">
      <c r="I951" s="82"/>
    </row>
    <row r="952" spans="9:9" ht="12.75" customHeight="1" x14ac:dyDescent="0.2">
      <c r="I952" s="82"/>
    </row>
    <row r="953" spans="9:9" ht="12.75" customHeight="1" x14ac:dyDescent="0.2">
      <c r="I953" s="82"/>
    </row>
    <row r="954" spans="9:9" ht="12.75" customHeight="1" x14ac:dyDescent="0.2">
      <c r="I954" s="82"/>
    </row>
    <row r="955" spans="9:9" ht="12.75" customHeight="1" x14ac:dyDescent="0.2">
      <c r="I955" s="82"/>
    </row>
    <row r="956" spans="9:9" ht="12.75" customHeight="1" x14ac:dyDescent="0.2">
      <c r="I956" s="82"/>
    </row>
    <row r="957" spans="9:9" ht="12.75" customHeight="1" x14ac:dyDescent="0.2">
      <c r="I957" s="82"/>
    </row>
    <row r="958" spans="9:9" ht="12.75" customHeight="1" x14ac:dyDescent="0.2">
      <c r="I958" s="82"/>
    </row>
    <row r="959" spans="9:9" ht="12.75" customHeight="1" x14ac:dyDescent="0.2">
      <c r="I959" s="82"/>
    </row>
    <row r="960" spans="9:9" ht="12.75" customHeight="1" x14ac:dyDescent="0.2">
      <c r="I960" s="82"/>
    </row>
    <row r="961" spans="9:9" ht="12.75" customHeight="1" x14ac:dyDescent="0.2">
      <c r="I961" s="82"/>
    </row>
    <row r="962" spans="9:9" ht="12.75" customHeight="1" x14ac:dyDescent="0.2">
      <c r="I962" s="82"/>
    </row>
    <row r="963" spans="9:9" ht="12.75" customHeight="1" x14ac:dyDescent="0.2">
      <c r="I963" s="82"/>
    </row>
    <row r="964" spans="9:9" ht="12.75" customHeight="1" x14ac:dyDescent="0.2">
      <c r="I964" s="82"/>
    </row>
    <row r="965" spans="9:9" ht="12.75" customHeight="1" x14ac:dyDescent="0.2">
      <c r="I965" s="82"/>
    </row>
    <row r="966" spans="9:9" ht="12.75" customHeight="1" x14ac:dyDescent="0.2">
      <c r="I966" s="82"/>
    </row>
    <row r="967" spans="9:9" ht="12.75" customHeight="1" x14ac:dyDescent="0.2">
      <c r="I967" s="82"/>
    </row>
    <row r="968" spans="9:9" ht="12.75" customHeight="1" x14ac:dyDescent="0.2">
      <c r="I968" s="82"/>
    </row>
    <row r="969" spans="9:9" ht="12.75" customHeight="1" x14ac:dyDescent="0.2">
      <c r="I969" s="82"/>
    </row>
    <row r="970" spans="9:9" ht="12.75" customHeight="1" x14ac:dyDescent="0.2">
      <c r="I970" s="82"/>
    </row>
    <row r="971" spans="9:9" ht="12.75" customHeight="1" x14ac:dyDescent="0.2">
      <c r="I971" s="82"/>
    </row>
    <row r="972" spans="9:9" ht="12.75" customHeight="1" x14ac:dyDescent="0.2">
      <c r="I972" s="82"/>
    </row>
    <row r="973" spans="9:9" ht="12.75" customHeight="1" x14ac:dyDescent="0.2">
      <c r="I973" s="82"/>
    </row>
    <row r="974" spans="9:9" ht="12.75" customHeight="1" x14ac:dyDescent="0.2">
      <c r="I974" s="82"/>
    </row>
    <row r="975" spans="9:9" ht="12.75" customHeight="1" x14ac:dyDescent="0.2">
      <c r="I975" s="82"/>
    </row>
    <row r="976" spans="9:9" ht="12.75" customHeight="1" x14ac:dyDescent="0.2">
      <c r="I976" s="82"/>
    </row>
    <row r="977" spans="9:9" ht="12.75" customHeight="1" x14ac:dyDescent="0.2">
      <c r="I977" s="82"/>
    </row>
    <row r="978" spans="9:9" ht="12.75" customHeight="1" x14ac:dyDescent="0.2">
      <c r="I978" s="82"/>
    </row>
    <row r="979" spans="9:9" ht="12.75" customHeight="1" x14ac:dyDescent="0.2">
      <c r="I979" s="82"/>
    </row>
    <row r="980" spans="9:9" ht="12.75" customHeight="1" x14ac:dyDescent="0.2">
      <c r="I980" s="82"/>
    </row>
    <row r="981" spans="9:9" ht="12.75" customHeight="1" x14ac:dyDescent="0.2">
      <c r="I981" s="82"/>
    </row>
    <row r="982" spans="9:9" ht="12.75" customHeight="1" x14ac:dyDescent="0.2">
      <c r="I982" s="82"/>
    </row>
    <row r="983" spans="9:9" ht="12.75" customHeight="1" x14ac:dyDescent="0.2">
      <c r="I983" s="82"/>
    </row>
    <row r="984" spans="9:9" ht="12.75" customHeight="1" x14ac:dyDescent="0.2">
      <c r="I984" s="82"/>
    </row>
    <row r="985" spans="9:9" ht="12.75" customHeight="1" x14ac:dyDescent="0.2">
      <c r="I985" s="82"/>
    </row>
    <row r="986" spans="9:9" ht="12.75" customHeight="1" x14ac:dyDescent="0.2">
      <c r="I986" s="82"/>
    </row>
    <row r="987" spans="9:9" ht="12.75" customHeight="1" x14ac:dyDescent="0.2">
      <c r="I987" s="82"/>
    </row>
    <row r="988" spans="9:9" ht="12.75" customHeight="1" x14ac:dyDescent="0.2">
      <c r="I988" s="82"/>
    </row>
    <row r="989" spans="9:9" ht="12.75" customHeight="1" x14ac:dyDescent="0.2">
      <c r="I989" s="82"/>
    </row>
    <row r="990" spans="9:9" ht="12.75" customHeight="1" x14ac:dyDescent="0.2">
      <c r="I990" s="82"/>
    </row>
    <row r="991" spans="9:9" ht="12.75" customHeight="1" x14ac:dyDescent="0.2">
      <c r="I991" s="82"/>
    </row>
    <row r="992" spans="9:9" ht="12.75" customHeight="1" x14ac:dyDescent="0.2">
      <c r="I992" s="82"/>
    </row>
    <row r="993" spans="9:9" ht="12.75" customHeight="1" x14ac:dyDescent="0.2">
      <c r="I993" s="82"/>
    </row>
    <row r="994" spans="9:9" ht="12.75" customHeight="1" x14ac:dyDescent="0.2">
      <c r="I994" s="82"/>
    </row>
    <row r="995" spans="9:9" ht="12.75" customHeight="1" x14ac:dyDescent="0.2">
      <c r="I995" s="82"/>
    </row>
    <row r="996" spans="9:9" ht="12.75" customHeight="1" x14ac:dyDescent="0.2">
      <c r="I996" s="82"/>
    </row>
    <row r="997" spans="9:9" ht="12.75" customHeight="1" x14ac:dyDescent="0.2">
      <c r="I997" s="82"/>
    </row>
    <row r="998" spans="9:9" ht="12.75" customHeight="1" x14ac:dyDescent="0.2">
      <c r="I998" s="82"/>
    </row>
    <row r="999" spans="9:9" ht="12.75" customHeight="1" x14ac:dyDescent="0.2">
      <c r="I999" s="82"/>
    </row>
    <row r="1000" spans="9:9" ht="12.75" customHeight="1" x14ac:dyDescent="0.2">
      <c r="I1000" s="8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A2" sqref="A2"/>
    </sheetView>
  </sheetViews>
  <sheetFormatPr defaultColWidth="14.5" defaultRowHeight="15" customHeight="1" x14ac:dyDescent="0.2"/>
  <cols>
    <col min="1" max="1" width="59.33203125" customWidth="1"/>
    <col min="2" max="2" width="112" customWidth="1"/>
    <col min="3" max="26" width="8.6640625" customWidth="1"/>
  </cols>
  <sheetData>
    <row r="1" spans="1:3" ht="12.75" customHeight="1" x14ac:dyDescent="0.2">
      <c r="A1" s="7" t="s">
        <v>126</v>
      </c>
      <c r="B1" s="7" t="s">
        <v>127</v>
      </c>
    </row>
    <row r="2" spans="1:3" ht="12.75" customHeight="1" x14ac:dyDescent="0.2">
      <c r="A2" s="7" t="s">
        <v>135</v>
      </c>
      <c r="B2" s="83" t="s">
        <v>128</v>
      </c>
    </row>
    <row r="3" spans="1:3" ht="12.75" customHeight="1" x14ac:dyDescent="0.2">
      <c r="A3" s="7"/>
      <c r="B3" s="7"/>
      <c r="C3" s="7"/>
    </row>
    <row r="4" spans="1:3" ht="12.75" customHeight="1" x14ac:dyDescent="0.2">
      <c r="A4" s="7"/>
      <c r="B4" s="7"/>
    </row>
    <row r="5" spans="1:3" ht="12.75" customHeight="1" x14ac:dyDescent="0.2"/>
    <row r="6" spans="1:3" ht="12.75" customHeight="1" x14ac:dyDescent="0.2"/>
    <row r="7" spans="1:3" ht="12.75" customHeight="1" x14ac:dyDescent="0.2"/>
    <row r="8" spans="1:3" ht="12.75" customHeight="1" x14ac:dyDescent="0.2"/>
    <row r="9" spans="1:3" ht="12.75" customHeight="1" x14ac:dyDescent="0.2"/>
    <row r="10" spans="1:3" ht="12.75" customHeight="1" x14ac:dyDescent="0.2"/>
    <row r="11" spans="1:3" ht="12.75" customHeight="1" x14ac:dyDescent="0.2"/>
    <row r="12" spans="1:3" ht="12.75" customHeight="1" x14ac:dyDescent="0.2"/>
    <row r="13" spans="1:3" ht="12.75" customHeight="1" x14ac:dyDescent="0.2"/>
    <row r="14" spans="1:3" ht="12.75" customHeight="1" x14ac:dyDescent="0.2"/>
    <row r="15" spans="1:3" ht="12.75" customHeight="1" x14ac:dyDescent="0.2"/>
    <row r="16" spans="1: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Legacy</vt:lpstr>
      <vt:lpstr>Available Boxes</vt:lpstr>
      <vt:lpstr>Product Weights, Dims, Volume, 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FlippenLekka</dc:creator>
  <cp:lastModifiedBy>Louis Cabano</cp:lastModifiedBy>
  <dcterms:created xsi:type="dcterms:W3CDTF">2024-10-13T19:07:47Z</dcterms:created>
  <dcterms:modified xsi:type="dcterms:W3CDTF">2026-02-10T15:21:13Z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2024-10-13T00:00:00Z</vt:filetime>
  </property>
  <property fmtid="{D5CDD505-2E9C-101B-9397-08002B2CF9AE}" pid="5" name="Producer">
    <vt:lpwstr>Acrobat Distiller 24.0 (Windows)</vt:lpwstr>
  </property>
</Properties>
</file>